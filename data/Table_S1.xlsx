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grallaria/Desktop/"/>
    </mc:Choice>
  </mc:AlternateContent>
  <xr:revisionPtr revIDLastSave="0" documentId="13_ncr:1_{5C2C515A-A29D-8D4A-8FEB-CEEABAF45AB3}" xr6:coauthVersionLast="47" xr6:coauthVersionMax="47" xr10:uidLastSave="{00000000-0000-0000-0000-000000000000}"/>
  <bookViews>
    <workbookView xWindow="1280" yWindow="1260" windowWidth="34080" windowHeight="17400" activeTab="1" xr2:uid="{C9AD26C9-34CC-B041-B266-8F8DD5E79945}"/>
  </bookViews>
  <sheets>
    <sheet name="Caption Table S1" sheetId="7" r:id="rId1"/>
    <sheet name="Table S1" sheetId="6" r:id="rId2"/>
    <sheet name="Table S2. Morphometrics" sheetId="20" r:id="rId10"/>
    <sheet name="Table S3. Wing areas" sheetId="21" r:id="rId11"/>
  </sheets>
  <definedNames>
    <definedName name="_xlnm._FilterDatabase" localSheetId="1" hidden="1">'Table S1'!$A$3:$AH$45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<sst xmlns="http://schemas.openxmlformats.org/spreadsheetml/2006/main" count="692" uniqueCount="245">
  <si>
    <t>Evolutionary change</t>
  </si>
  <si>
    <t>Sister pair taxonomy</t>
  </si>
  <si>
    <t>Flight habit</t>
  </si>
  <si>
    <t>Migration</t>
  </si>
  <si>
    <t>Species</t>
  </si>
  <si>
    <t>Flight ability</t>
  </si>
  <si>
    <t>HWI</t>
  </si>
  <si>
    <t>Migratory distance/habit</t>
  </si>
  <si>
    <t>Supergroup</t>
  </si>
  <si>
    <t>Order (suborder, infraorder, superfamily)</t>
  </si>
  <si>
    <t>Family</t>
  </si>
  <si>
    <t>toward flight loss</t>
  </si>
  <si>
    <t>N/A (sed.)</t>
  </si>
  <si>
    <t>Rhea pennata</t>
  </si>
  <si>
    <t>sedentary</t>
  </si>
  <si>
    <t>Tinamus guttatus</t>
  </si>
  <si>
    <t>Palaeognathae</t>
  </si>
  <si>
    <t>to migratory</t>
  </si>
  <si>
    <r>
      <t>sed.</t>
    </r>
    <r>
      <rPr>
        <sz val="11"/>
        <rFont val="Arial"/>
        <family val="2"/>
      </rPr>
      <t>→</t>
    </r>
    <r>
      <rPr>
        <sz val="11"/>
        <rFont val="Aptos Light"/>
      </rPr>
      <t>migr.</t>
    </r>
  </si>
  <si>
    <t>Chauna torquata</t>
  </si>
  <si>
    <t>volant</t>
  </si>
  <si>
    <t>Anas platyrhynchos</t>
  </si>
  <si>
    <t>migratory</t>
  </si>
  <si>
    <t>short–medium, partial</t>
  </si>
  <si>
    <t>Galloanseres</t>
  </si>
  <si>
    <t>Anseriformes</t>
  </si>
  <si>
    <t>Meleagris gallopavo</t>
  </si>
  <si>
    <t>Tympanuchus cupido</t>
  </si>
  <si>
    <t>Galliformes</t>
  </si>
  <si>
    <t>Phasianidae</t>
  </si>
  <si>
    <t>Gallus gallus</t>
  </si>
  <si>
    <t>Coturnix japonica</t>
  </si>
  <si>
    <t>short</t>
  </si>
  <si>
    <t>minimal</t>
  </si>
  <si>
    <t>N/A (migr.)</t>
  </si>
  <si>
    <t>Podilymbus podiceps</t>
  </si>
  <si>
    <t>medium, partial</t>
  </si>
  <si>
    <t>Podiceps cristatus</t>
  </si>
  <si>
    <t>Podicipediformes</t>
  </si>
  <si>
    <t>Podicipedidae</t>
  </si>
  <si>
    <t>Tauraco erythrolophus</t>
  </si>
  <si>
    <t>Musophagiformes</t>
  </si>
  <si>
    <t>Musophagidae</t>
  </si>
  <si>
    <t>Lophotis ruficrista</t>
  </si>
  <si>
    <t>Otidiformes</t>
  </si>
  <si>
    <t>Otididae</t>
  </si>
  <si>
    <t>Geococcyx californianus</t>
  </si>
  <si>
    <t>Crotophaga sulcirostris</t>
  </si>
  <si>
    <t>(restr. short dispersive)</t>
  </si>
  <si>
    <t>Cuculiformes</t>
  </si>
  <si>
    <t>Cuculidae</t>
  </si>
  <si>
    <t>Ceuthmochares aereus</t>
  </si>
  <si>
    <t>Cuculus canorus</t>
  </si>
  <si>
    <t>long</t>
  </si>
  <si>
    <t>Mesitornis unicolor</t>
  </si>
  <si>
    <t>Pterocles gutturalis</t>
  </si>
  <si>
    <t>short, partial</t>
  </si>
  <si>
    <t>Columba livia</t>
  </si>
  <si>
    <t>Patagioenas fasciata</t>
  </si>
  <si>
    <t>Columbiformes</t>
  </si>
  <si>
    <t>Columbidae</t>
  </si>
  <si>
    <t>Psophia crepitans</t>
  </si>
  <si>
    <t>Balearica regulorum</t>
  </si>
  <si>
    <t>Gruiformes</t>
  </si>
  <si>
    <t>Heliornis fulica</t>
  </si>
  <si>
    <t>Charadrius vociferus</t>
  </si>
  <si>
    <t>medium–long, partial</t>
  </si>
  <si>
    <t>Charadriiformes</t>
  </si>
  <si>
    <t>Charadriidae</t>
  </si>
  <si>
    <t>sedentary**</t>
  </si>
  <si>
    <t>Alca torda</t>
  </si>
  <si>
    <t>short–medium</t>
  </si>
  <si>
    <t>Alcidae</t>
  </si>
  <si>
    <t>Rhynochetos jubatus</t>
  </si>
  <si>
    <t>Phaethon lepturus</t>
  </si>
  <si>
    <t>medium dispersive</t>
  </si>
  <si>
    <t>Aptenodytes forsteri</t>
  </si>
  <si>
    <t>Pelecanoides urinatrix</t>
  </si>
  <si>
    <t>short–medium dispersive</t>
  </si>
  <si>
    <t>Phalacrocorax carbo</t>
  </si>
  <si>
    <t>Suliformes</t>
  </si>
  <si>
    <t>Phalacrocoridae</t>
  </si>
  <si>
    <t>Mesembrinibis cayennensis</t>
  </si>
  <si>
    <t>Nipponia nippon</t>
  </si>
  <si>
    <t>migratory***</t>
  </si>
  <si>
    <t>medium, partial***</t>
  </si>
  <si>
    <t>Pelecaniformes</t>
  </si>
  <si>
    <t>Threskiornithidae</t>
  </si>
  <si>
    <t>Scopus umbretta</t>
  </si>
  <si>
    <t>Pelecanus crispus</t>
  </si>
  <si>
    <t>Cochlearius cochlearius</t>
  </si>
  <si>
    <t>Egretta garzetta</t>
  </si>
  <si>
    <t>Ardeidae</t>
  </si>
  <si>
    <t>Chordeiles acutipennis</t>
  </si>
  <si>
    <t>Antrostomus carolinensis</t>
  </si>
  <si>
    <t>medium</t>
  </si>
  <si>
    <t>Caprimulgiformes</t>
  </si>
  <si>
    <t>Caprimulgidae</t>
  </si>
  <si>
    <t>Hemiprocne comata</t>
  </si>
  <si>
    <t>Chaetura pelagica</t>
  </si>
  <si>
    <t>Apodiformes</t>
  </si>
  <si>
    <t>Apodidae</t>
  </si>
  <si>
    <t>Oreotrochilus melanogaster</t>
  </si>
  <si>
    <t>Calypte anna</t>
  </si>
  <si>
    <t>short dispersive, partial</t>
  </si>
  <si>
    <t>Trochilidae</t>
  </si>
  <si>
    <t>Tyto alba</t>
  </si>
  <si>
    <t>Strix occidentalis</t>
  </si>
  <si>
    <t>Strigiformes</t>
  </si>
  <si>
    <t>Haliaeetus albicilla</t>
  </si>
  <si>
    <t>Aquila chrysaetos</t>
  </si>
  <si>
    <t>short–long, partial</t>
  </si>
  <si>
    <t>Accipitriformes</t>
  </si>
  <si>
    <t>Accipitridae</t>
  </si>
  <si>
    <t>Colius striatus</t>
  </si>
  <si>
    <t>Urocolius indicus</t>
  </si>
  <si>
    <t>Coliiformes</t>
  </si>
  <si>
    <t>Coliidae</t>
  </si>
  <si>
    <t>Apaloderma vittatum</t>
  </si>
  <si>
    <t>Trogon melanurus</t>
  </si>
  <si>
    <t>Trogoniformes</t>
  </si>
  <si>
    <t>Trogonidae</t>
  </si>
  <si>
    <t>Buceros rhinoceros</t>
  </si>
  <si>
    <t>Bucorvus abyssinicus</t>
  </si>
  <si>
    <t>Bucerotiformes</t>
  </si>
  <si>
    <t>Eurystomus gularis</t>
  </si>
  <si>
    <t>Merops nubicus</t>
  </si>
  <si>
    <t>Coraciiformes</t>
  </si>
  <si>
    <t>Indicator maculatus</t>
  </si>
  <si>
    <t>Piciformes</t>
  </si>
  <si>
    <t>Cariama cristata</t>
  </si>
  <si>
    <t>Chunga burmeisteri</t>
  </si>
  <si>
    <t>Cariamiformes</t>
  </si>
  <si>
    <t>Cariamidae</t>
  </si>
  <si>
    <t>Herpetotheres cachinnans</t>
  </si>
  <si>
    <t>Falco peregrinus</t>
  </si>
  <si>
    <t>Falconiformes</t>
  </si>
  <si>
    <t>Falconidae</t>
  </si>
  <si>
    <t>Nestor notabilis</t>
  </si>
  <si>
    <t>Melopsittacus undulatus</t>
  </si>
  <si>
    <t>nomadic</t>
  </si>
  <si>
    <t>Psittaciformes</t>
  </si>
  <si>
    <t>Manacus manacus</t>
  </si>
  <si>
    <t>Lepidothrix coronata</t>
  </si>
  <si>
    <t>Passeriformes: Tyranni: Tyrannides: Piproidea</t>
  </si>
  <si>
    <t>Pipridae</t>
  </si>
  <si>
    <t>Scytalopus superciliaris</t>
  </si>
  <si>
    <t>Campylorhamphus procurvoides</t>
  </si>
  <si>
    <t>Passeriformes: Tyranni: Tyrannides: Furnarioidea</t>
  </si>
  <si>
    <t>Atrichornis clamosus</t>
  </si>
  <si>
    <t>Menura novaehollandiae</t>
  </si>
  <si>
    <t>Passeriformes: Passeri: Menurides</t>
  </si>
  <si>
    <t>Orthonyx spaldingii</t>
  </si>
  <si>
    <t>Pomatostomus ruficeps</t>
  </si>
  <si>
    <t>Passeriformes: Passeri: Orthonycides</t>
  </si>
  <si>
    <t>Aphelocoma coerulescens</t>
  </si>
  <si>
    <t>Corvus brachyrhynchos</t>
  </si>
  <si>
    <t>Passeriformes: Passeri: Corvides: Corvoidea</t>
  </si>
  <si>
    <t>Corvidae</t>
  </si>
  <si>
    <t>Panurus biarmicus</t>
  </si>
  <si>
    <t>(restr. short + irruptive)</t>
  </si>
  <si>
    <t>Alaudala cheleensis</t>
  </si>
  <si>
    <t>Passeriformes: Passeri: Corvides: Sylvioidea</t>
  </si>
  <si>
    <t>Lonchura striata</t>
  </si>
  <si>
    <t>Taeniopygia guttata</t>
  </si>
  <si>
    <t>Passeriformes: Passeri: Passerides: Passeroidea</t>
  </si>
  <si>
    <t>Estrildidae</t>
  </si>
  <si>
    <t>Geospiza fortis</t>
  </si>
  <si>
    <t>Nesospiza acunhae</t>
  </si>
  <si>
    <t>Passeriformes: Passeri: Passerides: Emberizoidea</t>
  </si>
  <si>
    <t>Thraupidae</t>
  </si>
  <si>
    <t>near lost</t>
  </si>
  <si>
    <t>lost</t>
  </si>
  <si>
    <t>Crinifer concolor</t>
  </si>
  <si>
    <t>Laterallus rogersi</t>
  </si>
  <si>
    <t>Anarhynchus alexandrinus</t>
  </si>
  <si>
    <t>Nannopterum harrisi</t>
  </si>
  <si>
    <t>Dryobates pubescens</t>
  </si>
  <si>
    <t>Mirandornithes</t>
  </si>
  <si>
    <t>Columbaves: Otidimorphae</t>
  </si>
  <si>
    <t>Columbaves: Columbimorphae</t>
  </si>
  <si>
    <t>Elementaves: Cursorimorphae</t>
  </si>
  <si>
    <t>Elementaves: Phaethonimorphae</t>
  </si>
  <si>
    <t>Elementaves: Procellarimorphae</t>
  </si>
  <si>
    <t>Elementaves: Pelecanimorphae</t>
  </si>
  <si>
    <t>Elementaves: Strisores</t>
  </si>
  <si>
    <t>Afroaves: Hieraves</t>
  </si>
  <si>
    <t>Afroaves: Coraciimorphae</t>
  </si>
  <si>
    <t>Australaves</t>
  </si>
  <si>
    <t>Body mass (g)</t>
  </si>
  <si>
    <t>Winged</t>
  </si>
  <si>
    <t>migration</t>
  </si>
  <si>
    <t>Sister</t>
  </si>
  <si>
    <t>pair #</t>
  </si>
  <si>
    <t>locomotion</t>
  </si>
  <si>
    <t>species</t>
  </si>
  <si>
    <t>clade</t>
  </si>
  <si>
    <t>†</t>
  </si>
  <si>
    <t>*</t>
  </si>
  <si>
    <t>**</t>
  </si>
  <si>
    <t>***</t>
  </si>
  <si>
    <r>
      <t>Treated as 'flight degenerate' by Pan et al.</t>
    </r>
    <r>
      <rPr>
        <vertAlign val="superscript"/>
        <sz val="11"/>
        <color theme="1"/>
        <rFont val="Aptos Light"/>
      </rPr>
      <t>3</t>
    </r>
  </si>
  <si>
    <t>Considerable movements by swimming</t>
  </si>
  <si>
    <r>
      <t>Pinguinus impennis</t>
    </r>
    <r>
      <rPr>
        <vertAlign val="superscript"/>
        <sz val="11"/>
        <rFont val="Aptos Light"/>
      </rPr>
      <t>†</t>
    </r>
  </si>
  <si>
    <r>
      <t>Chlamydotis macqueenii</t>
    </r>
    <r>
      <rPr>
        <vertAlign val="superscript"/>
        <sz val="11"/>
        <rFont val="Aptos Light"/>
      </rPr>
      <t>†</t>
    </r>
  </si>
  <si>
    <t>length (bp)</t>
  </si>
  <si>
    <t>N genes</t>
  </si>
  <si>
    <t>Std. assembly stats</t>
  </si>
  <si>
    <r>
      <t xml:space="preserve">Trait values not available from main source data. </t>
    </r>
    <r>
      <rPr>
        <i/>
        <sz val="11"/>
        <color theme="1"/>
        <rFont val="Aptos Light"/>
      </rPr>
      <t>Pinguinus impennis</t>
    </r>
    <r>
      <rPr>
        <sz val="11"/>
        <color theme="1"/>
        <rFont val="Aptos Light"/>
      </rPr>
      <t xml:space="preserve"> HWI is novel data based on two specimens, body mass from Smith (2016)</t>
    </r>
    <r>
      <rPr>
        <vertAlign val="superscript"/>
        <sz val="11"/>
        <color theme="1"/>
        <rFont val="Aptos Light"/>
      </rPr>
      <t>64</t>
    </r>
    <r>
      <rPr>
        <sz val="11"/>
        <color theme="1"/>
        <rFont val="Aptos Light"/>
      </rPr>
      <t xml:space="preserve">; </t>
    </r>
    <r>
      <rPr>
        <i/>
        <sz val="11"/>
        <color theme="1"/>
        <rFont val="Aptos Light"/>
      </rPr>
      <t>Chlamydotis macqueenii</t>
    </r>
    <r>
      <rPr>
        <sz val="11"/>
        <color theme="1"/>
        <rFont val="Aptos Light"/>
      </rPr>
      <t xml:space="preserve"> species body mass is approximated by </t>
    </r>
    <r>
      <rPr>
        <i/>
        <sz val="11"/>
        <color theme="1"/>
        <rFont val="Aptos Light"/>
      </rPr>
      <t>C. u. undulata</t>
    </r>
    <r>
      <rPr>
        <sz val="11"/>
        <color theme="1"/>
        <rFont val="Aptos Light"/>
      </rPr>
      <t>.</t>
    </r>
  </si>
  <si>
    <r>
      <t>Extant population sedentary, but recently extinct populations in Siberia, Manchuria and northern China wintered in south-eastern China and Hainan</t>
    </r>
    <r>
      <rPr>
        <vertAlign val="superscript"/>
        <sz val="11"/>
        <color theme="1"/>
        <rFont val="Aptos Light"/>
      </rPr>
      <t>63</t>
    </r>
    <r>
      <rPr>
        <sz val="11"/>
        <color theme="1"/>
        <rFont val="Aptos Light"/>
      </rPr>
      <t>.</t>
    </r>
  </si>
  <si>
    <t>9 (vii)</t>
  </si>
  <si>
    <t>13 (vi)</t>
  </si>
  <si>
    <t>16 (v)</t>
  </si>
  <si>
    <t>17 (iv)</t>
  </si>
  <si>
    <t>18 (iii)</t>
  </si>
  <si>
    <t>23 (ii)</t>
  </si>
  <si>
    <t>33 (i)</t>
  </si>
  <si>
    <r>
      <t>Table S1.</t>
    </r>
    <r>
      <rPr>
        <sz val="12"/>
        <color theme="1"/>
        <rFont val="Aptos"/>
      </rPr>
      <t xml:space="preserve"> The 42 pairs of bird species included in the study are more closely related to each other than to any other of the selected species (though most often more closely related to unsampled species). Classification of flight ability, winged migration status, and migratory distance/habits are synthesized from Sheard et al.</t>
    </r>
    <r>
      <rPr>
        <vertAlign val="superscript"/>
        <sz val="12"/>
        <color theme="1"/>
        <rFont val="Aptos"/>
      </rPr>
      <t>21</t>
    </r>
    <r>
      <rPr>
        <sz val="12"/>
        <color theme="1"/>
        <rFont val="Aptos"/>
      </rPr>
      <t>, Billerman et al.</t>
    </r>
    <r>
      <rPr>
        <vertAlign val="superscript"/>
        <sz val="12"/>
        <color theme="1"/>
        <rFont val="Aptos"/>
      </rPr>
      <t>22</t>
    </r>
    <r>
      <rPr>
        <sz val="12"/>
        <color theme="1"/>
        <rFont val="Aptos"/>
      </rPr>
      <t>, and further literature review. Several species are partial migrants, with some populations sedentary and other migratory, sometimes of varying distances. Migration is directional unless otherwise stated. We have focused on evolutionary change and thus assess the maximal migration capacity, including those of historical populations. The hand–wing index (HWI), obtained from Sheard et al.</t>
    </r>
    <r>
      <rPr>
        <vertAlign val="superscript"/>
        <sz val="12"/>
        <color theme="1"/>
        <rFont val="Aptos"/>
      </rPr>
      <t>21</t>
    </r>
    <r>
      <rPr>
        <sz val="12"/>
        <color theme="1"/>
        <rFont val="Aptos"/>
      </rPr>
      <t>, is a measure of wing shape, with rounder and relatively shorter wings having lower values. The HWI of Great Auk is presented for the first time and is based on measurements of two specimens at the Natural History Museum (UK). Since the taxon pairs often are not strict sister taxa, but both are more closely related to other species within one of the two sister clades, HWI and body mass are presented both at species level and as an average for that clade- Taxonomy and nomenclature follow AviList</t>
    </r>
    <r>
      <rPr>
        <vertAlign val="superscript"/>
        <sz val="12"/>
        <color theme="1"/>
        <rFont val="Aptos"/>
      </rPr>
      <t>62</t>
    </r>
    <r>
      <rPr>
        <sz val="12"/>
        <color theme="1"/>
        <rFont val="Aptos"/>
      </rPr>
      <t>, after which the list is ordered. The additional sister pair numbers in Roman numerals within parentheses refer to “distinct pairs” in Figure 1.</t>
    </r>
  </si>
  <si>
    <t>Abbreviations: sed. (sedentary); migr. (migratory); restr. (restricted); std. (standardized); bp (base pairs).</t>
  </si>
  <si>
    <t>Additional references</t>
  </si>
  <si>
    <r>
      <rPr>
        <u/>
        <vertAlign val="superscript"/>
        <sz val="12"/>
        <color theme="10"/>
        <rFont val="Aptos Narrow (Body)"/>
      </rPr>
      <t>62</t>
    </r>
    <r>
      <rPr>
        <u/>
        <sz val="12"/>
        <color theme="10"/>
        <rFont val="Aptos Narrow"/>
        <family val="2"/>
        <scheme val="minor"/>
      </rPr>
      <t xml:space="preserve"> AviList Core Team. (2025.) AviList: The Global Avian Checklist, v2025. https://doi.org/10.2173/avilist.v2025</t>
    </r>
  </si>
  <si>
    <r>
      <rPr>
        <u/>
        <vertAlign val="superscript"/>
        <sz val="12"/>
        <color theme="10"/>
        <rFont val="Aptos Narrow (Body)"/>
      </rPr>
      <t>63</t>
    </r>
    <r>
      <rPr>
        <u/>
        <sz val="12"/>
        <color theme="10"/>
        <rFont val="Aptos Narrow"/>
        <family val="2"/>
        <scheme val="minor"/>
      </rPr>
      <t xml:space="preserve"> Matheu, E., del Hoyo, J., Kirwan, G.M., and Garcia, E. (2020.) Crested Ibis (Nipponia nippon), version 1.0. In Birds of the World (del Hoyo, J., Elliott, A., Sargatal, J., Christie, D.A., and de Juana, E., Editors). Cornell Lab of Ornithology, Ithaca, NY, USA. https://doi.org/10.2173/bow.creibi1.01</t>
    </r>
  </si>
  <si>
    <r>
      <rPr>
        <u/>
        <vertAlign val="superscript"/>
        <sz val="12"/>
        <color theme="10"/>
        <rFont val="Aptos Narrow (Body)"/>
      </rPr>
      <t>64</t>
    </r>
    <r>
      <rPr>
        <u/>
        <sz val="12"/>
        <color theme="10"/>
        <rFont val="Aptos Narrow"/>
        <family val="2"/>
        <scheme val="minor"/>
      </rPr>
      <t xml:space="preserve"> Smith, N.A. (2016.) Evolution of body mass in the Pan-Alcidae (Aves, Charadriiformes): the effects of combining neontological and paleontological data. Paleobiology 42, 8–26. https://doi.org/10.1017/pab.2015.24</t>
    </r>
  </si>
  <si>
    <t>Primary flight style</t>
  </si>
  <si>
    <t>none</t>
  </si>
  <si>
    <t>foot-propelled</t>
  </si>
  <si>
    <t>wing-propelled</t>
  </si>
  <si>
    <t>burst flight (BF)</t>
  </si>
  <si>
    <t>continuous flapping (CF)</t>
  </si>
  <si>
    <t>flap-gliding (FG)</t>
  </si>
  <si>
    <t>intermittent bounding (IB)</t>
  </si>
  <si>
    <t>hovering (H)</t>
  </si>
  <si>
    <t>soaring (S)</t>
  </si>
  <si>
    <t>wing-propelled swimming (WS)</t>
  </si>
  <si>
    <t>limited flight (LF)</t>
  </si>
  <si>
    <t>limited flight (LF)</t>
  </si>
  <si>
    <t>ln(HWI/Body Mass)</t>
  </si>
  <si>
    <t>ln(HWI/body mass)</t>
  </si>
  <si>
    <t>limited flight (LF)</t>
  </si>
  <si>
    <t>Primary flight style</t>
  </si>
  <si>
    <t>Primary aquatic</t>
  </si>
  <si>
    <t>limited</t>
  </si>
  <si>
    <t>toward limited flight</t>
  </si>
  <si>
    <t>Sister 1 (lesser flight capacity, if different)</t>
  </si>
  <si>
    <t>Sister 2 (greater flight capacity, if different)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</si>
</sst>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6" x14ac:knownFonts="1">
    <font>
      <sz val="12"/>
      <color theme="1"/>
      <name val="Aptos Narrow"/>
      <family val="2"/>
      <scheme val="minor"/>
    </font>
    <font>
      <sz val="11"/>
      <color theme="1"/>
      <name val="Aptos"/>
    </font>
    <font>
      <b/>
      <sz val="11"/>
      <color theme="1"/>
      <name val="Aptos"/>
    </font>
    <font>
      <sz val="11"/>
      <color theme="1"/>
      <name val="Aptos Narrow"/>
      <family val="2"/>
      <scheme val="minor"/>
    </font>
    <font>
      <sz val="11"/>
      <color theme="1"/>
      <name val="Aptos Light"/>
    </font>
    <font>
      <sz val="11"/>
      <name val="Aptos Light"/>
    </font>
    <font>
      <sz val="11"/>
      <color rgb="FFFF0000"/>
      <name val="Aptos Light"/>
    </font>
    <font>
      <i/>
      <sz val="11"/>
      <name val="Aptos Light"/>
    </font>
    <font>
      <sz val="11"/>
      <color theme="0"/>
      <name val="Aptos Light"/>
    </font>
    <font>
      <sz val="11"/>
      <name val="Arial"/>
      <family val="2"/>
    </font>
    <font>
      <sz val="11"/>
      <color rgb="FF7030A0"/>
      <name val="Aptos Light"/>
    </font>
    <font>
      <sz val="11"/>
      <color rgb="FF0070C0"/>
      <name val="Aptos Light"/>
    </font>
    <font>
      <sz val="11"/>
      <color rgb="FFC00000"/>
      <name val="Aptos Light"/>
    </font>
    <font>
      <i/>
      <sz val="11"/>
      <color theme="1"/>
      <name val="Aptos Light"/>
    </font>
    <font>
      <sz val="11"/>
      <color theme="0" tint="-0.34998626667073579"/>
      <name val="Aptos Light"/>
    </font>
    <font>
      <vertAlign val="superscript"/>
      <sz val="11"/>
      <color theme="1"/>
      <name val="Aptos Light"/>
    </font>
    <font>
      <i/>
      <sz val="11"/>
      <color theme="0" tint="-0.34998626667073579"/>
      <name val="Aptos Narrow"/>
      <family val="2"/>
      <scheme val="minor"/>
    </font>
    <font>
      <sz val="11"/>
      <color theme="0" tint="-0.34998626667073579"/>
      <name val="Aptos Narrow"/>
      <family val="2"/>
      <scheme val="minor"/>
    </font>
    <font>
      <sz val="12"/>
      <color theme="1"/>
      <name val="Aptos"/>
    </font>
    <font>
      <vertAlign val="superscript"/>
      <sz val="11"/>
      <name val="Aptos Light"/>
    </font>
    <font>
      <b/>
      <sz val="12"/>
      <color theme="1"/>
      <name val="Aptos"/>
    </font>
    <font>
      <vertAlign val="superscript"/>
      <sz val="12"/>
      <color theme="1"/>
      <name val="Aptos"/>
    </font>
    <font>
      <u/>
      <sz val="12"/>
      <color theme="10"/>
      <name val="Aptos Narrow"/>
      <family val="2"/>
      <scheme val="minor"/>
    </font>
    <font>
      <u/>
      <vertAlign val="superscript"/>
      <sz val="12"/>
      <color theme="10"/>
      <name val="Aptos Narrow (Body)"/>
    </font>
    <font>
      <sz val="11"/>
      <color rgb="FF000000"/>
      <name val="Aptos Narrow"/>
      <family val="2"/>
      <scheme val="minor"/>
    </font>
    <font>
      <sz val="11"/>
      <color rgb="FF000000"/>
      <name val="Aptos"/>
    </font>
  </fonts>
  <fills count="11">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D7EAE9"/>
        <bgColor indexed="64"/>
      </patternFill>
    </fill>
    <fill>
      <patternFill patternType="solid">
        <fgColor rgb="FF38938C"/>
        <bgColor indexed="64"/>
      </patternFill>
    </fill>
    <fill>
      <patternFill patternType="solid">
        <fgColor rgb="FFFEFBD1"/>
        <bgColor indexed="64"/>
      </patternFill>
    </fill>
    <fill>
      <patternFill patternType="solid">
        <fgColor rgb="FFD8D2DD"/>
        <bgColor indexed="64"/>
      </patternFill>
    </fill>
    <fill>
      <patternFill patternType="solid">
        <fgColor rgb="FF8CC3BA"/>
        <bgColor indexed="64"/>
      </patternFill>
    </fill>
    <fill>
      <patternFill patternType="solid">
        <fgColor theme="0" tint="-4.9989318521683403E-2"/>
        <bgColor indexed="64"/>
      </patternFill>
    </fill>
  </fills>
  <borders count="30">
    <border>
      <left/>
      <right/>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right/>
      <top style="thin">
        <color auto="1"/>
      </top>
      <bottom/>
      <diagonal/>
    </border>
    <border>
      <left/>
      <right style="thin">
        <color auto="1"/>
      </right>
      <top style="thin">
        <color auto="1"/>
      </top>
      <bottom/>
      <diagonal/>
    </border>
    <border>
      <left/>
      <right/>
      <top style="thin">
        <color theme="0" tint="-0.24994659260841701"/>
      </top>
      <bottom/>
      <diagonal/>
    </border>
    <border>
      <left/>
      <right style="thin">
        <color auto="1"/>
      </right>
      <top style="thin">
        <color theme="0" tint="-0.24994659260841701"/>
      </top>
      <bottom/>
      <diagonal/>
    </border>
    <border>
      <left/>
      <right/>
      <top/>
      <bottom style="thin">
        <color theme="0" tint="-0.24994659260841701"/>
      </bottom>
      <diagonal/>
    </border>
    <border>
      <left/>
      <right style="thin">
        <color auto="1"/>
      </right>
      <top/>
      <bottom style="thin">
        <color theme="0" tint="-0.24994659260841701"/>
      </bottom>
      <diagonal/>
    </border>
    <border>
      <left style="thin">
        <color auto="1"/>
      </left>
      <right/>
      <top style="thin">
        <color theme="0" tint="-0.24994659260841701"/>
      </top>
      <bottom/>
      <diagonal/>
    </border>
    <border>
      <left style="thin">
        <color auto="1"/>
      </left>
      <right/>
      <top/>
      <bottom style="thin">
        <color theme="0" tint="-0.24994659260841701"/>
      </bottom>
      <diagonal/>
    </border>
    <border>
      <left style="thin">
        <color auto="1"/>
      </left>
      <right/>
      <top style="thin">
        <color auto="1"/>
      </top>
      <bottom/>
      <diagonal/>
    </border>
    <border>
      <left/>
      <right/>
      <top style="thin">
        <color theme="1"/>
      </top>
      <bottom/>
      <diagonal/>
    </border>
    <border>
      <left/>
      <right style="thin">
        <color auto="1"/>
      </right>
      <top style="thin">
        <color theme="1"/>
      </top>
      <bottom/>
      <diagonal/>
    </border>
    <border>
      <left style="thin">
        <color auto="1"/>
      </left>
      <right/>
      <top style="thin">
        <color theme="1"/>
      </top>
      <bottom/>
      <diagonal/>
    </border>
  </borders>
  <cellStyleXfs count="3">
    <xf numFmtId="0" fontId="0" fillId="0" borderId="0"/>
    <xf numFmtId="0" fontId="3" fillId="0" borderId="0"/>
    <xf numFmtId="0" fontId="22" fillId="0" borderId="0" applyNumberFormat="0" applyFill="0" applyBorder="0" applyAlignment="0" applyProtection="0"/>
  </cellStyleXfs>
  <cellXfs count="221">
    <xf numFmtId="0" fontId="0" fillId="0" borderId="0" xfId="0"/>
    <xf numFmtId="0" fontId="3" fillId="0" borderId="0" xfId="0" applyFont="1"/>
    <xf numFmtId="0" fontId="1" fillId="3" borderId="5" xfId="0" applyFont="1" applyFill="1" applyBorder="1" applyAlignment="1">
      <alignment wrapText="1"/>
    </xf>
    <xf numFmtId="0" fontId="1" fillId="4" borderId="4" xfId="0" applyFont="1" applyFill="1" applyBorder="1" applyAlignment="1">
      <alignment wrapText="1"/>
    </xf>
    <xf numFmtId="0" fontId="1" fillId="4" borderId="5" xfId="0" applyFont="1" applyFill="1" applyBorder="1" applyAlignment="1">
      <alignment wrapText="1"/>
    </xf>
    <xf numFmtId="0" fontId="1" fillId="4" borderId="6" xfId="0" applyFont="1" applyFill="1" applyBorder="1" applyAlignment="1">
      <alignment wrapText="1"/>
    </xf>
    <xf numFmtId="0" fontId="1" fillId="3" borderId="4" xfId="0" applyFont="1" applyFill="1" applyBorder="1" applyAlignment="1">
      <alignment wrapText="1"/>
    </xf>
    <xf numFmtId="0" fontId="3" fillId="0" borderId="0" xfId="0" applyFont="1" applyAlignment="1">
      <alignment wrapText="1"/>
    </xf>
    <xf numFmtId="0" fontId="4" fillId="3" borderId="7" xfId="0" applyFont="1" applyFill="1" applyBorder="1" applyAlignment="1">
      <alignment horizontal="left" indent="1"/>
    </xf>
    <xf numFmtId="0" fontId="5" fillId="5" borderId="0" xfId="0" applyFont="1" applyFill="1"/>
    <xf numFmtId="0" fontId="5" fillId="3" borderId="0" xfId="0" applyFont="1" applyFill="1"/>
    <xf numFmtId="0" fontId="7" fillId="4" borderId="7" xfId="0" applyFont="1" applyFill="1" applyBorder="1"/>
    <xf numFmtId="164" fontId="5" fillId="4" borderId="0" xfId="0" applyNumberFormat="1" applyFont="1" applyFill="1" applyAlignment="1">
      <alignment horizontal="right" indent="1"/>
    </xf>
    <xf numFmtId="0" fontId="5" fillId="4" borderId="0" xfId="0" applyFont="1" applyFill="1"/>
    <xf numFmtId="0" fontId="5" fillId="4" borderId="8" xfId="0" applyFont="1" applyFill="1" applyBorder="1"/>
    <xf numFmtId="0" fontId="7" fillId="3" borderId="7" xfId="0" applyFont="1" applyFill="1" applyBorder="1"/>
    <xf numFmtId="164" fontId="5" fillId="3" borderId="0" xfId="0" applyNumberFormat="1" applyFont="1" applyFill="1" applyAlignment="1">
      <alignment horizontal="right" indent="1"/>
    </xf>
    <xf numFmtId="0" fontId="5" fillId="4" borderId="7" xfId="0" applyFont="1" applyFill="1" applyBorder="1"/>
    <xf numFmtId="0" fontId="4" fillId="0" borderId="0" xfId="0" applyFont="1"/>
    <xf numFmtId="0" fontId="5" fillId="7" borderId="0" xfId="0" applyFont="1" applyFill="1"/>
    <xf numFmtId="0" fontId="5" fillId="8" borderId="0" xfId="0" applyFont="1" applyFill="1"/>
    <xf numFmtId="0" fontId="13" fillId="4" borderId="7" xfId="0" applyFont="1" applyFill="1" applyBorder="1"/>
    <xf numFmtId="0" fontId="4" fillId="4" borderId="0" xfId="0" applyFont="1" applyFill="1"/>
    <xf numFmtId="0" fontId="13" fillId="3" borderId="7" xfId="0" applyFont="1" applyFill="1" applyBorder="1"/>
    <xf numFmtId="0" fontId="4" fillId="3" borderId="0" xfId="0" applyFont="1" applyFill="1"/>
    <xf numFmtId="0" fontId="4" fillId="3" borderId="9" xfId="0" applyFont="1" applyFill="1" applyBorder="1" applyAlignment="1">
      <alignment horizontal="left" indent="1"/>
    </xf>
    <xf numFmtId="0" fontId="5" fillId="8" borderId="10" xfId="0" applyFont="1" applyFill="1" applyBorder="1"/>
    <xf numFmtId="0" fontId="5" fillId="3" borderId="10" xfId="0" applyFont="1" applyFill="1" applyBorder="1"/>
    <xf numFmtId="0" fontId="13" fillId="4" borderId="9" xfId="0" applyFont="1" applyFill="1" applyBorder="1"/>
    <xf numFmtId="0" fontId="4" fillId="4" borderId="10" xfId="0" applyFont="1" applyFill="1" applyBorder="1"/>
    <xf numFmtId="164" fontId="5" fillId="4" borderId="10" xfId="0" applyNumberFormat="1" applyFont="1" applyFill="1" applyBorder="1" applyAlignment="1">
      <alignment horizontal="right" indent="1"/>
    </xf>
    <xf numFmtId="0" fontId="13" fillId="3" borderId="9" xfId="0" applyFont="1" applyFill="1" applyBorder="1"/>
    <xf numFmtId="0" fontId="4" fillId="3" borderId="10" xfId="0" applyFont="1" applyFill="1" applyBorder="1"/>
    <xf numFmtId="164" fontId="5" fillId="3" borderId="10" xfId="0" applyNumberFormat="1" applyFont="1" applyFill="1" applyBorder="1" applyAlignment="1">
      <alignment horizontal="right" indent="1"/>
    </xf>
    <xf numFmtId="0" fontId="5" fillId="4" borderId="9" xfId="0" applyFont="1" applyFill="1" applyBorder="1"/>
    <xf numFmtId="0" fontId="5" fillId="4" borderId="10" xfId="0" applyFont="1" applyFill="1" applyBorder="1"/>
    <xf numFmtId="0" fontId="5" fillId="4" borderId="11" xfId="0" applyFont="1" applyFill="1" applyBorder="1"/>
    <xf numFmtId="0" fontId="13" fillId="0" borderId="0" xfId="0" applyFont="1"/>
    <xf numFmtId="0" fontId="4" fillId="0" borderId="0" xfId="0" applyFont="1" applyAlignment="1">
      <alignment horizontal="right" indent="1"/>
    </xf>
    <xf numFmtId="0" fontId="14" fillId="0" borderId="0" xfId="0" applyFont="1"/>
    <xf numFmtId="0" fontId="16" fillId="0" borderId="0" xfId="0" applyFont="1"/>
    <xf numFmtId="0" fontId="3" fillId="0" borderId="0" xfId="0" applyFont="1" applyAlignment="1">
      <alignment horizontal="right" indent="1"/>
    </xf>
    <xf numFmtId="0" fontId="17" fillId="0" borderId="0" xfId="0" applyFont="1"/>
    <xf numFmtId="0" fontId="10" fillId="4" borderId="0" xfId="0" applyFont="1" applyFill="1"/>
    <xf numFmtId="0" fontId="10" fillId="3" borderId="0" xfId="0" applyFont="1" applyFill="1"/>
    <xf numFmtId="0" fontId="11" fillId="3" borderId="0" xfId="0" applyFont="1" applyFill="1"/>
    <xf numFmtId="165" fontId="5" fillId="4" borderId="8" xfId="0" applyNumberFormat="1" applyFont="1" applyFill="1" applyBorder="1" applyAlignment="1">
      <alignment horizontal="right" indent="1"/>
    </xf>
    <xf numFmtId="165" fontId="4" fillId="4" borderId="8" xfId="0" applyNumberFormat="1" applyFont="1" applyFill="1" applyBorder="1" applyAlignment="1">
      <alignment horizontal="right" indent="1"/>
    </xf>
    <xf numFmtId="165" fontId="5" fillId="3" borderId="8" xfId="0" applyNumberFormat="1" applyFont="1" applyFill="1" applyBorder="1" applyAlignment="1">
      <alignment horizontal="right" indent="1"/>
    </xf>
    <xf numFmtId="165" fontId="5" fillId="3" borderId="11" xfId="0" applyNumberFormat="1" applyFont="1" applyFill="1" applyBorder="1" applyAlignment="1">
      <alignment horizontal="right" indent="1"/>
    </xf>
    <xf numFmtId="165" fontId="5" fillId="4" borderId="11" xfId="0" applyNumberFormat="1" applyFont="1" applyFill="1" applyBorder="1" applyAlignment="1">
      <alignment horizontal="right" indent="1"/>
    </xf>
    <xf numFmtId="0" fontId="1" fillId="4" borderId="0" xfId="0" applyFont="1" applyFill="1" applyAlignment="1">
      <alignment wrapText="1"/>
    </xf>
    <xf numFmtId="0" fontId="1" fillId="3" borderId="0" xfId="0" applyFont="1" applyFill="1" applyAlignment="1">
      <alignment wrapText="1"/>
    </xf>
    <xf numFmtId="0" fontId="1" fillId="4" borderId="7" xfId="0" applyFont="1" applyFill="1" applyBorder="1"/>
    <xf numFmtId="0" fontId="2" fillId="3" borderId="0" xfId="0" applyFont="1" applyFill="1" applyAlignment="1">
      <alignment horizontal="center"/>
    </xf>
    <xf numFmtId="0" fontId="2" fillId="3" borderId="7" xfId="0" applyFont="1" applyFill="1" applyBorder="1" applyAlignment="1">
      <alignment horizontal="center"/>
    </xf>
    <xf numFmtId="0" fontId="2" fillId="3" borderId="7" xfId="0" applyFont="1" applyFill="1" applyBorder="1" applyAlignment="1">
      <alignment horizontal="left" wrapText="1"/>
    </xf>
    <xf numFmtId="0" fontId="2" fillId="3" borderId="4" xfId="0" applyFont="1" applyFill="1" applyBorder="1" applyAlignment="1">
      <alignment horizontal="left" wrapText="1"/>
    </xf>
    <xf numFmtId="0" fontId="4" fillId="4" borderId="5" xfId="0" applyFont="1" applyFill="1" applyBorder="1" applyAlignment="1">
      <alignment horizontal="center" wrapText="1"/>
    </xf>
    <xf numFmtId="0" fontId="4" fillId="3" borderId="5" xfId="0" applyFont="1" applyFill="1" applyBorder="1" applyAlignment="1">
      <alignment horizontal="center" wrapText="1"/>
    </xf>
    <xf numFmtId="0" fontId="18" fillId="3" borderId="5" xfId="0" applyFont="1" applyFill="1" applyBorder="1" applyAlignment="1">
      <alignment wrapText="1"/>
    </xf>
    <xf numFmtId="0" fontId="18" fillId="4" borderId="5" xfId="0" applyFont="1" applyFill="1" applyBorder="1" applyAlignment="1">
      <alignment wrapText="1"/>
    </xf>
    <xf numFmtId="0" fontId="4" fillId="0" borderId="0" xfId="0" applyFont="1" applyAlignment="1">
      <alignment horizontal="right"/>
    </xf>
    <xf numFmtId="0" fontId="15" fillId="0" borderId="0" xfId="0" applyFont="1" applyAlignment="1">
      <alignment horizontal="right"/>
    </xf>
    <xf numFmtId="0" fontId="2" fillId="4" borderId="7" xfId="0" applyFont="1" applyFill="1" applyBorder="1" applyAlignment="1">
      <alignment horizontal="center"/>
    </xf>
    <xf numFmtId="0" fontId="2" fillId="4" borderId="0" xfId="0" applyFont="1" applyFill="1" applyAlignment="1">
      <alignment horizontal="center"/>
    </xf>
    <xf numFmtId="0" fontId="2" fillId="4" borderId="8" xfId="0" applyFont="1" applyFill="1" applyBorder="1" applyAlignment="1">
      <alignment horizontal="center"/>
    </xf>
    <xf numFmtId="0" fontId="4" fillId="4" borderId="4" xfId="0" applyFont="1" applyFill="1" applyBorder="1" applyAlignment="1">
      <alignment horizontal="center" wrapText="1"/>
    </xf>
    <xf numFmtId="165" fontId="5" fillId="4" borderId="7" xfId="0" applyNumberFormat="1" applyFont="1" applyFill="1" applyBorder="1" applyAlignment="1">
      <alignment horizontal="right" indent="1"/>
    </xf>
    <xf numFmtId="165" fontId="4" fillId="4" borderId="7" xfId="0" applyNumberFormat="1" applyFont="1" applyFill="1" applyBorder="1" applyAlignment="1">
      <alignment horizontal="right" indent="1"/>
    </xf>
    <xf numFmtId="165" fontId="5" fillId="4" borderId="9" xfId="0" applyNumberFormat="1" applyFont="1" applyFill="1" applyBorder="1" applyAlignment="1">
      <alignment horizontal="right" indent="1"/>
    </xf>
    <xf numFmtId="0" fontId="8" fillId="6" borderId="7" xfId="0" applyFont="1" applyFill="1" applyBorder="1"/>
    <xf numFmtId="0" fontId="5" fillId="5" borderId="7" xfId="0" applyFont="1" applyFill="1" applyBorder="1"/>
    <xf numFmtId="0" fontId="5" fillId="9" borderId="7" xfId="0" applyFont="1" applyFill="1" applyBorder="1"/>
    <xf numFmtId="0" fontId="4" fillId="4" borderId="7" xfId="0" applyFont="1" applyFill="1" applyBorder="1"/>
    <xf numFmtId="0" fontId="4" fillId="4" borderId="9" xfId="0" applyFont="1" applyFill="1" applyBorder="1"/>
    <xf numFmtId="0" fontId="1" fillId="3" borderId="1" xfId="0" applyFont="1" applyFill="1" applyBorder="1" applyAlignment="1">
      <alignment vertical="center"/>
    </xf>
    <xf numFmtId="0" fontId="2" fillId="2" borderId="2" xfId="0" applyFont="1" applyFill="1" applyBorder="1" applyAlignment="1">
      <alignment horizontal="center" vertical="center"/>
    </xf>
    <xf numFmtId="0" fontId="3" fillId="0" borderId="0" xfId="0" applyFont="1" applyAlignment="1">
      <alignment vertical="center"/>
    </xf>
    <xf numFmtId="3" fontId="5" fillId="4" borderId="0" xfId="0" applyNumberFormat="1" applyFont="1" applyFill="1" applyAlignment="1">
      <alignment horizontal="right" indent="1"/>
    </xf>
    <xf numFmtId="3" fontId="4" fillId="4" borderId="0" xfId="0" applyNumberFormat="1" applyFont="1" applyFill="1" applyAlignment="1">
      <alignment horizontal="right" indent="1"/>
    </xf>
    <xf numFmtId="3" fontId="5" fillId="4" borderId="10" xfId="0" applyNumberFormat="1" applyFont="1" applyFill="1" applyBorder="1" applyAlignment="1">
      <alignment horizontal="right" indent="1"/>
    </xf>
    <xf numFmtId="3" fontId="5" fillId="3" borderId="0" xfId="0" applyNumberFormat="1" applyFont="1" applyFill="1" applyAlignment="1">
      <alignment horizontal="right" indent="1"/>
    </xf>
    <xf numFmtId="3" fontId="4" fillId="3" borderId="0" xfId="0" applyNumberFormat="1" applyFont="1" applyFill="1" applyAlignment="1">
      <alignment horizontal="right" indent="1"/>
    </xf>
    <xf numFmtId="3" fontId="5" fillId="3" borderId="10" xfId="0" applyNumberFormat="1" applyFont="1" applyFill="1" applyBorder="1" applyAlignment="1">
      <alignment horizontal="right" indent="1"/>
    </xf>
    <xf numFmtId="0" fontId="4" fillId="3" borderId="4" xfId="0" applyFont="1" applyFill="1" applyBorder="1" applyAlignment="1">
      <alignment horizontal="center" wrapText="1"/>
    </xf>
    <xf numFmtId="165" fontId="5" fillId="3" borderId="7" xfId="0" applyNumberFormat="1" applyFont="1" applyFill="1" applyBorder="1" applyAlignment="1">
      <alignment horizontal="right" indent="1"/>
    </xf>
    <xf numFmtId="165" fontId="5" fillId="3" borderId="9" xfId="0" applyNumberFormat="1" applyFont="1" applyFill="1" applyBorder="1" applyAlignment="1">
      <alignment horizontal="right" indent="1"/>
    </xf>
    <xf numFmtId="0" fontId="4" fillId="3" borderId="12" xfId="0" applyFont="1" applyFill="1" applyBorder="1" applyAlignment="1">
      <alignment horizontal="left" indent="1"/>
    </xf>
    <xf numFmtId="0" fontId="5" fillId="3" borderId="13" xfId="0" applyFont="1" applyFill="1" applyBorder="1"/>
    <xf numFmtId="0" fontId="7" fillId="4" borderId="12" xfId="0" applyFont="1" applyFill="1" applyBorder="1"/>
    <xf numFmtId="164" fontId="5" fillId="4" borderId="13" xfId="0" applyNumberFormat="1" applyFont="1" applyFill="1" applyBorder="1" applyAlignment="1">
      <alignment horizontal="right" indent="1"/>
    </xf>
    <xf numFmtId="0" fontId="5" fillId="4" borderId="13" xfId="0" applyFont="1" applyFill="1" applyBorder="1"/>
    <xf numFmtId="165" fontId="5" fillId="4" borderId="12" xfId="0" applyNumberFormat="1" applyFont="1" applyFill="1" applyBorder="1" applyAlignment="1">
      <alignment horizontal="right" indent="1"/>
    </xf>
    <xf numFmtId="165" fontId="5" fillId="4" borderId="14" xfId="0" applyNumberFormat="1" applyFont="1" applyFill="1" applyBorder="1" applyAlignment="1">
      <alignment horizontal="right" indent="1"/>
    </xf>
    <xf numFmtId="3" fontId="5" fillId="4" borderId="13" xfId="0" applyNumberFormat="1" applyFont="1" applyFill="1" applyBorder="1" applyAlignment="1">
      <alignment horizontal="right" indent="1"/>
    </xf>
    <xf numFmtId="0" fontId="7" fillId="3" borderId="12" xfId="0" applyFont="1" applyFill="1" applyBorder="1"/>
    <xf numFmtId="164" fontId="5" fillId="3" borderId="13" xfId="0" applyNumberFormat="1" applyFont="1" applyFill="1" applyBorder="1" applyAlignment="1">
      <alignment horizontal="right" indent="1"/>
    </xf>
    <xf numFmtId="165" fontId="5" fillId="3" borderId="14" xfId="0" applyNumberFormat="1" applyFont="1" applyFill="1" applyBorder="1" applyAlignment="1">
      <alignment horizontal="right" indent="1"/>
    </xf>
    <xf numFmtId="3" fontId="5" fillId="3" borderId="13" xfId="0" applyNumberFormat="1" applyFont="1" applyFill="1" applyBorder="1" applyAlignment="1">
      <alignment horizontal="right" indent="1"/>
    </xf>
    <xf numFmtId="0" fontId="5" fillId="4" borderId="12" xfId="0" applyFont="1" applyFill="1" applyBorder="1"/>
    <xf numFmtId="0" fontId="5" fillId="4" borderId="14" xfId="0" applyFont="1" applyFill="1" applyBorder="1"/>
    <xf numFmtId="0" fontId="12" fillId="3" borderId="0" xfId="0" applyFont="1" applyFill="1"/>
    <xf numFmtId="0" fontId="6" fillId="3" borderId="0" xfId="0" applyFont="1" applyFill="1"/>
    <xf numFmtId="0" fontId="4" fillId="3" borderId="15" xfId="0" applyFont="1" applyFill="1" applyBorder="1" applyAlignment="1">
      <alignment horizontal="left" indent="1"/>
    </xf>
    <xf numFmtId="0" fontId="5" fillId="8" borderId="16" xfId="0" applyFont="1" applyFill="1" applyBorder="1"/>
    <xf numFmtId="0" fontId="5" fillId="3" borderId="16" xfId="0" applyFont="1" applyFill="1" applyBorder="1"/>
    <xf numFmtId="0" fontId="7" fillId="4" borderId="15" xfId="0" applyFont="1" applyFill="1" applyBorder="1"/>
    <xf numFmtId="0" fontId="4" fillId="4" borderId="15" xfId="0" applyFont="1" applyFill="1" applyBorder="1"/>
    <xf numFmtId="164" fontId="5" fillId="4" borderId="16" xfId="0" applyNumberFormat="1" applyFont="1" applyFill="1" applyBorder="1" applyAlignment="1">
      <alignment horizontal="right" indent="1"/>
    </xf>
    <xf numFmtId="0" fontId="5" fillId="7" borderId="16" xfId="0" applyFont="1" applyFill="1" applyBorder="1"/>
    <xf numFmtId="0" fontId="5" fillId="4" borderId="16" xfId="0" applyFont="1" applyFill="1" applyBorder="1"/>
    <xf numFmtId="165" fontId="5" fillId="4" borderId="15" xfId="0" applyNumberFormat="1" applyFont="1" applyFill="1" applyBorder="1" applyAlignment="1">
      <alignment horizontal="right" indent="1"/>
    </xf>
    <xf numFmtId="165" fontId="5" fillId="4" borderId="17" xfId="0" applyNumberFormat="1" applyFont="1" applyFill="1" applyBorder="1" applyAlignment="1">
      <alignment horizontal="right" indent="1"/>
    </xf>
    <xf numFmtId="3" fontId="5" fillId="4" borderId="16" xfId="0" applyNumberFormat="1" applyFont="1" applyFill="1" applyBorder="1" applyAlignment="1">
      <alignment horizontal="right" indent="1"/>
    </xf>
    <xf numFmtId="0" fontId="7" fillId="3" borderId="15" xfId="0" applyFont="1" applyFill="1" applyBorder="1"/>
    <xf numFmtId="0" fontId="4" fillId="3" borderId="16" xfId="0" applyFont="1" applyFill="1" applyBorder="1"/>
    <xf numFmtId="164" fontId="5" fillId="3" borderId="16" xfId="0" applyNumberFormat="1" applyFont="1" applyFill="1" applyBorder="1" applyAlignment="1">
      <alignment horizontal="right" indent="1"/>
    </xf>
    <xf numFmtId="165" fontId="5" fillId="3" borderId="17" xfId="0" applyNumberFormat="1" applyFont="1" applyFill="1" applyBorder="1" applyAlignment="1">
      <alignment horizontal="right" indent="1"/>
    </xf>
    <xf numFmtId="3" fontId="5" fillId="3" borderId="16" xfId="0" applyNumberFormat="1" applyFont="1" applyFill="1" applyBorder="1" applyAlignment="1">
      <alignment horizontal="right" indent="1"/>
    </xf>
    <xf numFmtId="0" fontId="5" fillId="4" borderId="15" xfId="0" applyFont="1" applyFill="1" applyBorder="1"/>
    <xf numFmtId="0" fontId="5" fillId="4" borderId="17" xfId="0" applyFont="1" applyFill="1" applyBorder="1"/>
    <xf numFmtId="0" fontId="5" fillId="8" borderId="13" xfId="0" applyFont="1" applyFill="1" applyBorder="1"/>
    <xf numFmtId="0" fontId="5" fillId="7" borderId="13" xfId="0" applyFont="1" applyFill="1" applyBorder="1"/>
    <xf numFmtId="0" fontId="13" fillId="4" borderId="15" xfId="0" applyFont="1" applyFill="1" applyBorder="1"/>
    <xf numFmtId="0" fontId="4" fillId="4" borderId="16" xfId="0" applyFont="1" applyFill="1" applyBorder="1"/>
    <xf numFmtId="0" fontId="13" fillId="3" borderId="15" xfId="0" applyFont="1" applyFill="1" applyBorder="1"/>
    <xf numFmtId="0" fontId="13" fillId="4" borderId="12" xfId="0" applyFont="1" applyFill="1" applyBorder="1"/>
    <xf numFmtId="0" fontId="4" fillId="4" borderId="12" xfId="0" applyFont="1" applyFill="1" applyBorder="1"/>
    <xf numFmtId="0" fontId="4" fillId="4" borderId="13" xfId="0" applyFont="1" applyFill="1" applyBorder="1"/>
    <xf numFmtId="0" fontId="13" fillId="3" borderId="12" xfId="0" applyFont="1" applyFill="1" applyBorder="1"/>
    <xf numFmtId="0" fontId="4" fillId="3" borderId="13" xfId="0" applyFont="1" applyFill="1" applyBorder="1"/>
    <xf numFmtId="0" fontId="20" fillId="0" borderId="0" xfId="0" applyFont="1" applyAlignment="1">
      <alignment vertical="center" wrapText="1"/>
    </xf>
    <xf numFmtId="0" fontId="18" fillId="0" borderId="0" xfId="0" applyFont="1" applyAlignment="1">
      <alignment vertical="center" wrapText="1"/>
    </xf>
    <xf numFmtId="0" fontId="22" fillId="0" borderId="0" xfId="2" applyAlignment="1">
      <alignment horizontal="left" vertical="center" wrapText="1" indent="2"/>
    </xf>
    <xf numFmtId="0" fontId="0" fillId="10" borderId="2" xfId="0" applyFill="1" applyBorder="1" applyAlignment="1">
      <alignment vertical="center"/>
    </xf>
    <xf numFmtId="0" fontId="1" fillId="3" borderId="7" xfId="0" applyFont="1" applyFill="1" applyBorder="1" applyAlignment="1">
      <alignment horizontal="center"/>
    </xf>
    <xf numFmtId="0" fontId="0" fillId="3" borderId="8" xfId="0" applyFill="1" applyBorder="1" applyAlignment="1">
      <alignment horizontal="center"/>
    </xf>
    <xf numFmtId="0" fontId="2" fillId="3"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10" borderId="1" xfId="0" applyFont="1" applyFill="1" applyBorder="1" applyAlignment="1">
      <alignment horizontal="center" vertical="center"/>
    </xf>
    <xf numFmtId="0" fontId="2" fillId="10" borderId="2" xfId="0" applyFont="1" applyFill="1" applyBorder="1" applyAlignment="1">
      <alignment horizontal="center" vertical="center"/>
    </xf>
    <xf numFmtId="0" fontId="0" fillId="10" borderId="2" xfId="0" applyFill="1" applyBorder="1" applyAlignment="1">
      <alignment vertical="center"/>
    </xf>
    <xf numFmtId="0" fontId="0" fillId="10" borderId="3" xfId="0" applyFill="1"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3" borderId="0" xfId="0" applyFont="1" applyFill="1" applyAlignment="1">
      <alignment horizontal="center"/>
    </xf>
    <xf numFmtId="0" fontId="1" fillId="4" borderId="0" xfId="0" applyFont="1" applyFill="1" applyAlignment="1">
      <alignment horizontal="center"/>
    </xf>
    <xf numFmtId="0" fontId="0" fillId="0" borderId="0" xfId="0" applyAlignment="1">
      <alignment horizontal="center"/>
    </xf>
    <xf numFmtId="0" fontId="1" fillId="4" borderId="7" xfId="0" applyFont="1" applyFill="1" applyBorder="1" applyAlignment="1">
      <alignment horizontal="center"/>
    </xf>
    <xf numFmtId="0" fontId="0" fillId="0" borderId="8" xfId="0" applyBorder="1" applyAlignment="1">
      <alignment horizontal="center"/>
    </xf>
    <xf numFmtId="0" fontId="1" fillId="3" borderId="0" xfId="0" applyFont="1" applyFill="1" applyAlignment="1">
      <alignment horizontal="center"/>
    </xf>
    <xf numFmtId="0" fontId="1" fillId="3" borderId="7" xfId="0" applyFont="1" applyFill="1" applyBorder="1" applyAlignment="1">
      <alignment horizontal="center" wrapText="1"/>
    </xf>
    <xf numFmtId="0" fontId="1" fillId="4" borderId="0" xfId="0" applyFont="1" applyFill="1" applyAlignment="1">
      <alignment horizontal="center" wrapText="1"/>
    </xf>
    <xf numFmtId="0" fontId="1" fillId="4" borderId="0" xfId="0" applyFont="1" applyFill="1" applyAlignment="1">
      <alignment horizontal="center" wrapText="1"/>
    </xf>
    <xf numFmtId="0" fontId="5" fillId="4" borderId="0" xfId="0" applyFont="1" applyFill="1" applyAlignment="1">
      <alignment horizontal="left"/>
    </xf>
    <xf numFmtId="0" fontId="3" fillId="4" borderId="0" xfId="0" applyFont="1" applyFill="1" applyAlignment="1">
      <alignment horizontal="left" indent="1"/>
    </xf>
    <xf numFmtId="0" fontId="4" fillId="4" borderId="0" xfId="0" applyFont="1" applyFill="1" applyAlignment="1">
      <alignment horizontal="left"/>
    </xf>
    <xf numFmtId="0" fontId="24" fillId="4" borderId="0" xfId="0" applyFont="1" applyFill="1" applyAlignment="1">
      <alignment horizontal="left" indent="1"/>
    </xf>
    <xf numFmtId="0" fontId="1" fillId="4" borderId="5" xfId="0" applyFont="1" applyFill="1" applyBorder="1" applyAlignment="1">
      <alignment horizontal="center" wrapText="1"/>
    </xf>
    <xf numFmtId="0" fontId="5" fillId="4" borderId="2" xfId="0" applyFont="1" applyFill="1" applyBorder="1" applyAlignment="1">
      <alignment horizontal="left"/>
    </xf>
    <xf numFmtId="0" fontId="3" fillId="0" borderId="0" xfId="0" applyFont="1" applyFill="1" applyBorder="1" applyAlignment="1">
      <alignment horizontal="left" indent="1"/>
    </xf>
    <xf numFmtId="10" fontId="5" fillId="3" borderId="10" xfId="0" applyNumberFormat="1" applyFont="1" applyFill="1" applyBorder="1" applyAlignment="1">
      <alignment horizontal="right" indent="1"/>
    </xf>
    <xf numFmtId="10" fontId="4" fillId="3" borderId="10" xfId="0" applyNumberFormat="1" applyFont="1" applyFill="1" applyBorder="1"/>
    <xf numFmtId="164" fontId="5" fillId="4" borderId="0" xfId="0" applyNumberFormat="1" applyFont="1" applyFill="1" applyBorder="1" applyAlignment="1">
      <alignment horizontal="right" indent="1"/>
    </xf>
    <xf numFmtId="0" fontId="4" fillId="4" borderId="0" xfId="0" applyFont="1" applyFill="1" applyBorder="1"/>
    <xf numFmtId="0" fontId="4" fillId="4" borderId="8" xfId="0" applyFont="1" applyFill="1" applyBorder="1"/>
    <xf numFmtId="0" fontId="4" fillId="4" borderId="11" xfId="0" applyFont="1" applyFill="1" applyBorder="1"/>
    <xf numFmtId="0" fontId="5" fillId="4" borderId="0" xfId="0" applyFont="1" applyFill="1" applyBorder="1"/>
    <xf numFmtId="0" fontId="4" fillId="4" borderId="20" xfId="0" applyFont="1" applyFill="1" applyBorder="1"/>
    <xf numFmtId="0" fontId="4" fillId="4" borderId="21" xfId="0" applyFont="1" applyFill="1" applyBorder="1"/>
    <xf numFmtId="0" fontId="4" fillId="4" borderId="22" xfId="0" applyFont="1" applyFill="1" applyBorder="1"/>
    <xf numFmtId="0" fontId="4" fillId="4" borderId="23" xfId="0" applyFont="1" applyFill="1" applyBorder="1"/>
    <xf numFmtId="0" fontId="10" fillId="4" borderId="0" xfId="0" applyFont="1" applyFill="1" applyBorder="1"/>
    <xf numFmtId="0" fontId="5" fillId="4" borderId="21" xfId="0" applyFont="1" applyFill="1" applyBorder="1"/>
    <xf numFmtId="0" fontId="5" fillId="4" borderId="0" xfId="0" applyFont="1" applyFill="1" applyBorder="1" applyAlignment="1">
      <alignment horizontal="left"/>
    </xf>
    <xf numFmtId="0" fontId="4" fillId="4" borderId="0" xfId="0" applyFont="1" applyFill="1" applyBorder="1" applyAlignment="1">
      <alignment horizontal="left"/>
    </xf>
    <xf numFmtId="0" fontId="5" fillId="4" borderId="23" xfId="0" applyFont="1" applyFill="1" applyBorder="1"/>
    <xf numFmtId="0" fontId="3" fillId="4" borderId="0" xfId="0" applyFont="1" applyFill="1" applyBorder="1" applyAlignment="1">
      <alignment horizontal="left"/>
    </xf>
    <xf numFmtId="0" fontId="3" fillId="4" borderId="22" xfId="0" applyFont="1" applyFill="1" applyBorder="1" applyAlignment="1">
      <alignment horizontal="left"/>
    </xf>
    <xf numFmtId="0" fontId="3" fillId="4" borderId="20" xfId="0" applyFont="1" applyFill="1" applyBorder="1" applyAlignment="1">
      <alignment horizontal="left"/>
    </xf>
    <xf numFmtId="0" fontId="25" fillId="4" borderId="0" xfId="0" applyFont="1" applyFill="1" applyBorder="1" applyAlignment="1">
      <alignment horizontal="left"/>
    </xf>
    <xf numFmtId="0" fontId="1" fillId="4" borderId="0" xfId="0" applyFont="1" applyFill="1" applyBorder="1" applyAlignment="1">
      <alignment horizontal="left"/>
    </xf>
    <xf numFmtId="0" fontId="1" fillId="4" borderId="22" xfId="0" applyFont="1" applyFill="1" applyBorder="1" applyAlignment="1">
      <alignment horizontal="left"/>
    </xf>
    <xf numFmtId="0" fontId="1" fillId="4" borderId="0" xfId="0" applyFont="1" applyFill="1" applyAlignment="1">
      <alignment horizontal="left"/>
    </xf>
    <xf numFmtId="0" fontId="1" fillId="4" borderId="20" xfId="0" applyFont="1" applyFill="1" applyBorder="1" applyAlignment="1">
      <alignment horizontal="left"/>
    </xf>
    <xf numFmtId="0" fontId="25" fillId="4" borderId="22" xfId="0" applyFont="1" applyFill="1" applyBorder="1" applyAlignment="1">
      <alignment horizontal="left"/>
    </xf>
    <xf numFmtId="0" fontId="1" fillId="4" borderId="10" xfId="0" applyFont="1" applyFill="1" applyBorder="1" applyAlignment="1">
      <alignment horizontal="left"/>
    </xf>
    <xf numFmtId="0" fontId="5" fillId="0" borderId="8" xfId="0" applyFont="1" applyFill="1" applyBorder="1"/>
    <xf numFmtId="0" fontId="4" fillId="0" borderId="8" xfId="0" applyFont="1" applyFill="1" applyBorder="1"/>
    <xf numFmtId="0" fontId="4" fillId="0" borderId="11" xfId="0" applyFont="1" applyFill="1" applyBorder="1"/>
    <xf numFmtId="0" fontId="18" fillId="0" borderId="0" xfId="0" applyFont="1" applyBorder="1" applyAlignment="1">
      <alignment wrapText="1"/>
    </xf>
    <xf numFmtId="0" fontId="4" fillId="3" borderId="0" xfId="0" applyFont="1" applyFill="1" applyBorder="1"/>
    <xf numFmtId="0" fontId="3" fillId="0" borderId="18" xfId="0" applyFont="1" applyFill="1" applyBorder="1" applyAlignment="1">
      <alignment horizontal="left" indent="1"/>
    </xf>
    <xf numFmtId="0" fontId="5" fillId="0" borderId="19" xfId="0" applyFont="1" applyFill="1" applyBorder="1"/>
    <xf numFmtId="0" fontId="11" fillId="3" borderId="0" xfId="0" applyFont="1" applyFill="1" applyBorder="1"/>
    <xf numFmtId="0" fontId="12" fillId="3" borderId="0" xfId="0" applyFont="1" applyFill="1" applyBorder="1"/>
    <xf numFmtId="0" fontId="3" fillId="0" borderId="10" xfId="0" applyFont="1" applyFill="1" applyBorder="1" applyAlignment="1">
      <alignment horizontal="left" indent="1"/>
    </xf>
    <xf numFmtId="0" fontId="4" fillId="3" borderId="20" xfId="0" applyFont="1" applyFill="1" applyBorder="1"/>
    <xf numFmtId="0" fontId="3" fillId="0" borderId="20" xfId="0" applyFont="1" applyFill="1" applyBorder="1" applyAlignment="1">
      <alignment horizontal="left" indent="1"/>
    </xf>
    <xf numFmtId="0" fontId="5" fillId="0" borderId="21" xfId="0" applyFont="1" applyFill="1" applyBorder="1"/>
    <xf numFmtId="165" fontId="5" fillId="3" borderId="24" xfId="0" applyNumberFormat="1" applyFont="1" applyFill="1" applyBorder="1" applyAlignment="1">
      <alignment horizontal="right" indent="1"/>
    </xf>
    <xf numFmtId="0" fontId="5" fillId="7" borderId="0" xfId="0" applyFont="1" applyFill="1" applyBorder="1"/>
    <xf numFmtId="0" fontId="4" fillId="3" borderId="22" xfId="0" applyFont="1" applyFill="1" applyBorder="1"/>
    <xf numFmtId="0" fontId="3" fillId="0" borderId="22" xfId="0" applyFont="1" applyFill="1" applyBorder="1" applyAlignment="1">
      <alignment horizontal="left" indent="1"/>
    </xf>
    <xf numFmtId="0" fontId="4" fillId="0" borderId="23" xfId="0" applyFont="1" applyFill="1" applyBorder="1"/>
    <xf numFmtId="165" fontId="5" fillId="3" borderId="25" xfId="0" applyNumberFormat="1" applyFont="1" applyFill="1" applyBorder="1" applyAlignment="1">
      <alignment horizontal="right" indent="1"/>
    </xf>
    <xf numFmtId="0" fontId="10" fillId="3" borderId="0" xfId="0" applyFont="1" applyFill="1" applyBorder="1"/>
    <xf numFmtId="0" fontId="10" fillId="3" borderId="18" xfId="0" applyFont="1" applyFill="1" applyBorder="1"/>
    <xf numFmtId="165" fontId="5" fillId="3" borderId="26" xfId="0" applyNumberFormat="1" applyFont="1" applyFill="1" applyBorder="1" applyAlignment="1">
      <alignment horizontal="right" indent="1"/>
    </xf>
    <xf numFmtId="0" fontId="10" fillId="3" borderId="10" xfId="0" applyFont="1" applyFill="1" applyBorder="1"/>
    <xf numFmtId="0" fontId="5" fillId="0" borderId="11" xfId="0" applyFont="1" applyFill="1" applyBorder="1"/>
    <xf numFmtId="0" fontId="1" fillId="3" borderId="0" xfId="0" applyFont="1" applyFill="1" applyBorder="1" applyAlignment="1">
      <alignment wrapText="1"/>
    </xf>
    <xf numFmtId="0" fontId="0" fillId="0" borderId="0" xfId="0" applyBorder="1" applyAlignment="1">
      <alignment horizontal="left"/>
    </xf>
    <xf numFmtId="0" fontId="4" fillId="3" borderId="7" xfId="0" applyFont="1" applyFill="1" applyBorder="1" applyAlignment="1">
      <alignment horizontal="center" wrapText="1"/>
    </xf>
    <xf numFmtId="0" fontId="5" fillId="3" borderId="0" xfId="0" applyFont="1" applyFill="1" applyBorder="1"/>
    <xf numFmtId="0" fontId="5" fillId="3" borderId="27" xfId="0" applyFont="1" applyFill="1" applyBorder="1"/>
    <xf numFmtId="0" fontId="3" fillId="0" borderId="27" xfId="0" applyFont="1" applyFill="1" applyBorder="1" applyAlignment="1">
      <alignment horizontal="left" indent="1"/>
    </xf>
    <xf numFmtId="0" fontId="5" fillId="0" borderId="28" xfId="0" applyFont="1" applyFill="1" applyBorder="1"/>
    <xf numFmtId="165" fontId="5" fillId="3" borderId="29" xfId="0" applyNumberFormat="1" applyFont="1" applyFill="1" applyBorder="1" applyAlignment="1">
      <alignment horizontal="right" indent="1"/>
    </xf>
  </cellXfs>
  <cellStyles count="3">
    <cellStyle name="Hyperlink" xfId="2" builtinId="8"/>
    <cellStyle name="Normal" xfId="0" builtinId="0"/>
    <cellStyle name="Normal 2" xfId="1" xr:uid="{0FF7A480-3218-1649-955A-A4BA8C4981AB}"/>
  </cellStyles>
  <dxfs count="0"/>
  <tableStyles count="0" defaultTableStyle="TableStyleMedium2" defaultPivotStyle="PivotStyleLight16"/>
  <colors>
    <mruColors>
      <color rgb="FFC7EABE"/>
      <color rgb="FFBAEA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10" Type="http://schemas.openxmlformats.org/officeDocument/2006/relationships/worksheet" Target="worksheets/sheet4.xml"/><Relationship Id="rId11"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7/pab.2015.24" TargetMode="External"/><Relationship Id="rId2" Type="http://schemas.openxmlformats.org/officeDocument/2006/relationships/hyperlink" Target="https://doi.org/10.2173/bow.creibi1.01" TargetMode="External"/><Relationship Id="rId1" Type="http://schemas.openxmlformats.org/officeDocument/2006/relationships/hyperlink" Target="https://doi.org/10.2173/avilist.v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B5121-B152-2F41-AF10-AA8D06F58B76}">
  <dimension ref="A1:A8"/>
  <sheetViews>
    <sheetView workbookViewId="0"/>
  </sheetViews>
  <sheetFormatPr baseColWidth="10" defaultRowHeight="16" x14ac:dyDescent="0.2"/>
  <cols>
    <col min="1" max="1" width="150.6640625" customWidth="1"/>
  </cols>
  <sheetData>
    <row r="1" spans="1:1" ht="165" x14ac:dyDescent="0.2">
      <c r="A1" s="132" t="s">
        <v>217</v>
      </c>
    </row>
    <row r="2" spans="1:1" x14ac:dyDescent="0.2">
      <c r="A2" s="133"/>
    </row>
    <row r="3" spans="1:1" ht="17" x14ac:dyDescent="0.2">
      <c r="A3" s="133" t="s">
        <v>218</v>
      </c>
    </row>
    <row r="4" spans="1:1" x14ac:dyDescent="0.2">
      <c r="A4" s="133"/>
    </row>
    <row r="5" spans="1:1" ht="17" x14ac:dyDescent="0.2">
      <c r="A5" s="132" t="s">
        <v>219</v>
      </c>
    </row>
    <row r="6" spans="1:1" ht="20" x14ac:dyDescent="0.2">
      <c r="A6" s="134" t="s">
        <v>220</v>
      </c>
    </row>
    <row r="7" spans="1:1" ht="37" x14ac:dyDescent="0.2">
      <c r="A7" s="134" t="s">
        <v>221</v>
      </c>
    </row>
    <row r="8" spans="1:1" ht="37" x14ac:dyDescent="0.2">
      <c r="A8" s="134" t="s">
        <v>222</v>
      </c>
    </row>
  </sheetData>
  <hyperlinks>
    <hyperlink ref="A6" r:id="rId1" display="https://doi.org/10.2173/avilist.v2025" xr:uid="{B3482A06-6C0B-034F-8F2F-55402D071577}"/>
    <hyperlink ref="A7" r:id="rId2" display="https://doi.org/10.2173/bow.creibi1.01" xr:uid="{E298EADC-1909-5F40-A536-511B1E90A377}"/>
    <hyperlink ref="A8" r:id="rId3" display="https://doi.org/10.1017/pab.2015.24" xr:uid="{32F1E2F4-DCB5-5140-896B-29C143BC918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0F4C2-2FC8-644B-A3AB-0650EA11BB87}">
  <dimension ref="A1:AH91"/>
  <sheetViews>
    <sheetView tabSelected="1" zoomScale="120" zoomScaleNormal="120" workbookViewId="0">
      <pane xSplit="2" ySplit="3" topLeftCell="C4" activePane="bottomRight" state="frozen"/>
      <selection pane="topRight" activeCell="C1" sqref="C1"/>
      <selection pane="bottomLeft" activeCell="A3" sqref="A3"/>
      <selection pane="bottomRight" activeCell="R2" sqref="R2"/>
    </sheetView>
  </sheetViews>
  <sheetFormatPr baseColWidth="10" defaultRowHeight="15" x14ac:dyDescent="0.2"/>
  <cols>
    <col min="1" max="1" width="7" style="1" customWidth="1"/>
    <col min="2" max="2" width="19.33203125" style="1" customWidth="1"/>
    <col min="3" max="3" width="10.6640625" style="1" customWidth="1"/>
    <col min="4" max="4" width="23.6640625" style="1" bestFit="1" customWidth="1"/>
    <col min="5" max="5" width="14.33203125" style="1" bestFit="1" customWidth="1"/>
    <col min="6" max="7" width="9.1640625" style="41" customWidth="1"/>
    <col min="8" max="8" width="11.83203125" style="1" customWidth="1"/>
    <col min="9" max="9" width="11" style="1" customWidth="1"/>
    <col min="10" max="10" width="11.1640625" style="1" bestFit="1" customWidth="1"/>
    <col min="11" max="11" width="21.1640625" style="1" bestFit="1" customWidth="1"/>
    <col min="12" max="12" width="25.1640625" style="1" bestFit="1" customWidth="1"/>
    <col min="13" max="13" width="13.83203125" style="1" bestFit="1" customWidth="1"/>
    <col min="14" max="14" width="14.33203125" style="1" bestFit="1" customWidth="1"/>
    <col min="15" max="15" width="12.5" style="1" customWidth="1"/>
    <col min="16" max="16" width="27.33203125" style="1" customWidth="1"/>
    <col min="17" max="17" width="13.1640625" style="1" customWidth="1"/>
    <col min="18" max="18" width="29.1640625" style="41" bestFit="1" customWidth="1"/>
    <col min="19" max="19" width="9.1640625" style="41" customWidth="1"/>
    <col min="20" max="20" width="11.5" style="1" customWidth="1"/>
    <col min="21" max="21" width="21.33203125" style="1" customWidth="1"/>
    <col min="22" max="22" width="14" style="1" customWidth="1"/>
    <col min="23" max="23" width="14.33203125" style="1" customWidth="1"/>
    <col min="24" max="24" width="11.5" style="1" customWidth="1"/>
    <col min="25" max="25" width="24.83203125" style="1" customWidth="1"/>
    <col min="26" max="26" width="27.6640625" style="1" bestFit="1" customWidth="1"/>
    <col min="27" max="27" width="26.1640625" style="1" bestFit="1" customWidth="1"/>
    <col min="28" max="28" width="11.83203125" style="1" customWidth="1"/>
    <col min="29" max="29" width="14.5" style="1" customWidth="1"/>
    <col min="30" max="30" width="15.83203125" style="1" customWidth="1"/>
    <col min="31" max="31" width="10.83203125" style="1"/>
    <col min="32" max="32" width="27.5" style="1" bestFit="1" customWidth="1"/>
    <col min="33" max="33" width="40" style="1" bestFit="1" customWidth="1"/>
    <col min="34" max="34" width="14.1640625" style="1" bestFit="1" customWidth="1"/>
    <col min="35" max="16384" width="10.83203125" style="1"/>
  </cols>
  <sheetData>
    <row r="1" spans="1:34" s="78" customFormat="1" ht="20" customHeight="1" x14ac:dyDescent="0.2">
      <c r="A1" s="76"/>
      <c r="B1" s="138"/>
      <c r="C1" s="138"/>
      <c r="D1" s="139" t="s">
        <v>243</v>
      </c>
      <c r="E1" s="140"/>
      <c r="F1" s="140"/>
      <c r="G1" s="140"/>
      <c r="H1" s="140"/>
      <c r="I1" s="140"/>
      <c r="J1" s="140"/>
      <c r="K1" s="140"/>
      <c r="L1" s="140"/>
      <c r="M1" s="140"/>
      <c r="N1" s="77"/>
      <c r="O1" s="77"/>
      <c r="P1" s="77"/>
      <c r="Q1" s="77"/>
      <c r="R1" s="141" t="s">
        <v>244</v>
      </c>
      <c r="S1" s="142"/>
      <c r="T1" s="142"/>
      <c r="U1" s="142"/>
      <c r="V1" s="142"/>
      <c r="W1" s="142"/>
      <c r="X1" s="143"/>
      <c r="Y1" s="143"/>
      <c r="Z1" s="143"/>
      <c r="AA1" s="144"/>
      <c r="AB1" s="135"/>
      <c r="AC1" s="135"/>
      <c r="AD1" s="135"/>
      <c r="AE1" s="135"/>
      <c r="AF1" s="139" t="s">
        <v>1</v>
      </c>
      <c r="AG1" s="145"/>
      <c r="AH1" s="146"/>
    </row>
    <row r="2" spans="1:34" ht="18" customHeight="1" x14ac:dyDescent="0.2">
      <c r="A2" s="56" t="s">
        <v>192</v>
      </c>
      <c r="B2" s="147" t="s">
        <v>0</v>
      </c>
      <c r="C2" s="147"/>
      <c r="D2" s="53"/>
      <c r="E2" s="53"/>
      <c r="F2" s="148" t="s">
        <v>6</v>
      </c>
      <c r="G2" s="149"/>
      <c r="H2" s="155" t="s">
        <v>236</v>
      </c>
      <c r="I2" s="155"/>
      <c r="J2" s="154" t="s">
        <v>190</v>
      </c>
      <c r="K2" s="51"/>
      <c r="L2" s="51"/>
      <c r="M2" s="51" t="s">
        <v>240</v>
      </c>
      <c r="N2" s="150" t="s">
        <v>189</v>
      </c>
      <c r="O2" s="151"/>
      <c r="P2" s="150" t="s">
        <v>207</v>
      </c>
      <c r="Q2" s="151"/>
      <c r="R2" s="55"/>
      <c r="S2" s="54"/>
      <c r="T2" s="152" t="s">
        <v>6</v>
      </c>
      <c r="U2" s="149"/>
      <c r="V2" s="149" t="s">
        <v>237</v>
      </c>
      <c r="W2" s="149"/>
      <c r="X2" s="52" t="s">
        <v>190</v>
      </c>
      <c r="Y2" s="54"/>
      <c r="Z2"/>
      <c r="AA2" s="52" t="s">
        <v>240</v>
      </c>
      <c r="AB2" s="153" t="s">
        <v>189</v>
      </c>
      <c r="AC2" s="151"/>
      <c r="AD2" s="136" t="s">
        <v>207</v>
      </c>
      <c r="AE2" s="137"/>
      <c r="AF2" s="64"/>
      <c r="AG2" s="65"/>
      <c r="AH2" s="66"/>
    </row>
    <row r="3" spans="1:34" s="7" customFormat="1" ht="16" customHeight="1" thickBot="1" x14ac:dyDescent="0.25">
      <c r="A3" s="57" t="s">
        <v>193</v>
      </c>
      <c r="B3" s="2" t="s">
        <v>2</v>
      </c>
      <c r="C3" s="2" t="s">
        <v>3</v>
      </c>
      <c r="D3" s="3" t="s">
        <v>4</v>
      </c>
      <c r="E3" s="3" t="s">
        <v>5</v>
      </c>
      <c r="F3" s="58" t="s">
        <v>195</v>
      </c>
      <c r="G3" s="58" t="s">
        <v>196</v>
      </c>
      <c r="H3" s="58" t="s">
        <v>195</v>
      </c>
      <c r="I3" s="58" t="s">
        <v>196</v>
      </c>
      <c r="J3" s="160" t="s">
        <v>191</v>
      </c>
      <c r="K3" s="4" t="s">
        <v>7</v>
      </c>
      <c r="L3" s="4" t="s">
        <v>223</v>
      </c>
      <c r="M3" s="61" t="s">
        <v>194</v>
      </c>
      <c r="N3" s="67" t="s">
        <v>195</v>
      </c>
      <c r="O3" s="58" t="s">
        <v>196</v>
      </c>
      <c r="P3" s="67" t="s">
        <v>205</v>
      </c>
      <c r="Q3" s="58" t="s">
        <v>206</v>
      </c>
      <c r="R3" s="6" t="s">
        <v>4</v>
      </c>
      <c r="S3" s="2" t="s">
        <v>5</v>
      </c>
      <c r="T3" s="59" t="s">
        <v>195</v>
      </c>
      <c r="U3" s="59" t="s">
        <v>196</v>
      </c>
      <c r="V3" s="59" t="s">
        <v>195</v>
      </c>
      <c r="W3" s="59" t="s">
        <v>196</v>
      </c>
      <c r="X3" s="60" t="s">
        <v>191</v>
      </c>
      <c r="Y3" s="213" t="s">
        <v>7</v>
      </c>
      <c r="Z3" s="214" t="s">
        <v>239</v>
      </c>
      <c r="AA3" s="192" t="s">
        <v>194</v>
      </c>
      <c r="AB3" s="215" t="s">
        <v>195</v>
      </c>
      <c r="AC3" s="59" t="s">
        <v>196</v>
      </c>
      <c r="AD3" s="85" t="s">
        <v>205</v>
      </c>
      <c r="AE3" s="59" t="s">
        <v>206</v>
      </c>
      <c r="AF3" s="3" t="s">
        <v>8</v>
      </c>
      <c r="AG3" s="4" t="s">
        <v>9</v>
      </c>
      <c r="AH3" s="5" t="s">
        <v>10</v>
      </c>
    </row>
    <row r="4" spans="1:34" s="18" customFormat="1" x14ac:dyDescent="0.2">
      <c r="A4" s="8">
        <v>1</v>
      </c>
      <c r="B4" s="9" t="s">
        <v>11</v>
      </c>
      <c r="C4" s="10" t="s">
        <v>12</v>
      </c>
      <c r="D4" s="11" t="s">
        <v>13</v>
      </c>
      <c r="E4" s="71" t="s">
        <v>172</v>
      </c>
      <c r="F4" s="12">
        <v>1.6167494000000001E-2</v>
      </c>
      <c r="G4" s="12">
        <v>1.63779085E-2</v>
      </c>
      <c r="H4" s="12">
        <f>LN(F4/N4)</f>
        <v>-14.206386333797509</v>
      </c>
      <c r="I4" s="12">
        <f>LN(G4/O4)</f>
        <v>-14.174447668827893</v>
      </c>
      <c r="J4" s="13" t="s">
        <v>14</v>
      </c>
      <c r="K4" s="13"/>
      <c r="L4" s="161" t="s">
        <v>224</v>
      </c>
      <c r="M4" s="13"/>
      <c r="N4" s="68">
        <v>23900.000002854093</v>
      </c>
      <c r="O4" s="46">
        <v>23450.000000961201</v>
      </c>
      <c r="P4" s="79">
        <v>1164842393.6787701</v>
      </c>
      <c r="Q4" s="79">
        <v>15268.134847343201</v>
      </c>
      <c r="R4" s="15" t="s">
        <v>15</v>
      </c>
      <c r="S4" s="10" t="s">
        <v>20</v>
      </c>
      <c r="T4" s="16">
        <v>26.404998110000001</v>
      </c>
      <c r="U4" s="16">
        <v>23.335801855489361</v>
      </c>
      <c r="V4" s="16">
        <f>LN(T4/AB4)</f>
        <v>-3.25758667036507</v>
      </c>
      <c r="W4" s="16">
        <f>LN(U4/AC4)</f>
        <v>-3.124523618992504</v>
      </c>
      <c r="X4" s="10" t="s">
        <v>14</v>
      </c>
      <c r="Y4" s="217"/>
      <c r="Z4" s="218" t="s">
        <v>227</v>
      </c>
      <c r="AA4" s="219"/>
      <c r="AB4" s="220">
        <v>686.18000066462241</v>
      </c>
      <c r="AC4" s="48">
        <v>530.86744673834585</v>
      </c>
      <c r="AD4" s="82">
        <v>1066908499.57638</v>
      </c>
      <c r="AE4" s="82">
        <v>15089.589638895501</v>
      </c>
      <c r="AF4" s="17" t="s">
        <v>16</v>
      </c>
      <c r="AG4" s="13"/>
      <c r="AH4" s="14"/>
    </row>
    <row r="5" spans="1:34" s="18" customFormat="1" x14ac:dyDescent="0.2">
      <c r="A5" s="8">
        <v>2</v>
      </c>
      <c r="B5" s="19" t="s">
        <v>17</v>
      </c>
      <c r="C5" s="19" t="s">
        <v>18</v>
      </c>
      <c r="D5" s="11" t="s">
        <v>19</v>
      </c>
      <c r="E5" s="17" t="s">
        <v>20</v>
      </c>
      <c r="F5" s="12">
        <v>35.290930420000002</v>
      </c>
      <c r="G5" s="12">
        <v>34.311449393333334</v>
      </c>
      <c r="H5" s="12">
        <f t="shared" ref="H5:H45" si="0">LN(F5/N5)</f>
        <v>-4.825733816471323</v>
      </c>
      <c r="I5" s="12">
        <f t="shared" ref="I5:I45" si="1">LN(G5/O5)</f>
        <v>-4.586955463237505</v>
      </c>
      <c r="J5" s="13" t="s">
        <v>14</v>
      </c>
      <c r="K5" s="13"/>
      <c r="L5" s="179" t="s">
        <v>228</v>
      </c>
      <c r="M5" s="13" t="s">
        <v>225</v>
      </c>
      <c r="N5" s="68">
        <v>4399.999995074254</v>
      </c>
      <c r="O5" s="46">
        <v>3369.2133313569648</v>
      </c>
      <c r="P5" s="79">
        <v>1178088651.8929999</v>
      </c>
      <c r="Q5" s="79">
        <v>15815.4240793631</v>
      </c>
      <c r="R5" s="15" t="s">
        <v>21</v>
      </c>
      <c r="S5" s="10" t="s">
        <v>20</v>
      </c>
      <c r="T5" s="16">
        <v>50.776643730000004</v>
      </c>
      <c r="U5" s="16">
        <v>45.471055723030297</v>
      </c>
      <c r="V5" s="16">
        <f>LN(T5/AB5)</f>
        <v>-2.8100285743095053</v>
      </c>
      <c r="W5" s="16">
        <f>LN(U5/AC5)</f>
        <v>-3.457819069242805</v>
      </c>
      <c r="X5" s="10" t="s">
        <v>22</v>
      </c>
      <c r="Y5" s="208" t="s">
        <v>23</v>
      </c>
      <c r="Z5" s="162" t="s">
        <v>228</v>
      </c>
      <c r="AA5" s="189" t="s">
        <v>225</v>
      </c>
      <c r="AB5" s="86">
        <v>843.41999957955977</v>
      </c>
      <c r="AC5" s="48">
        <v>1443.5996853733311</v>
      </c>
      <c r="AD5" s="82">
        <v>1257930553.62993</v>
      </c>
      <c r="AE5" s="82">
        <v>17877.371145958801</v>
      </c>
      <c r="AF5" s="17" t="s">
        <v>24</v>
      </c>
      <c r="AG5" s="13" t="s">
        <v>25</v>
      </c>
      <c r="AH5" s="14"/>
    </row>
    <row r="6" spans="1:34" s="18" customFormat="1" x14ac:dyDescent="0.2">
      <c r="A6" s="8">
        <v>3</v>
      </c>
      <c r="B6" s="20" t="s">
        <v>33</v>
      </c>
      <c r="C6" s="10" t="s">
        <v>12</v>
      </c>
      <c r="D6" s="11" t="s">
        <v>26</v>
      </c>
      <c r="E6" s="72" t="s">
        <v>241</v>
      </c>
      <c r="F6" s="12">
        <v>25.981309249999999</v>
      </c>
      <c r="G6" s="12">
        <v>26.276061689999999</v>
      </c>
      <c r="H6" s="12">
        <f t="shared" si="0"/>
        <v>-5.406746752700831</v>
      </c>
      <c r="I6" s="12">
        <f t="shared" si="1"/>
        <v>-5.372200125079855</v>
      </c>
      <c r="J6" s="13" t="s">
        <v>14</v>
      </c>
      <c r="K6" s="13"/>
      <c r="L6" s="179" t="s">
        <v>227</v>
      </c>
      <c r="M6" s="13"/>
      <c r="N6" s="68">
        <v>5791.3699987051759</v>
      </c>
      <c r="O6" s="46">
        <v>5658.1849970808089</v>
      </c>
      <c r="P6" s="79">
        <v>1102342267.77581</v>
      </c>
      <c r="Q6" s="79">
        <v>14958.5123244925</v>
      </c>
      <c r="R6" s="15" t="s">
        <v>27</v>
      </c>
      <c r="S6" s="10" t="s">
        <v>20</v>
      </c>
      <c r="T6" s="16">
        <v>42.688038450000001</v>
      </c>
      <c r="U6" s="16">
        <v>37.437806672631581</v>
      </c>
      <c r="V6" s="16">
        <f>LN(T6/AB6)</f>
        <v>-3.0146664106430445</v>
      </c>
      <c r="W6" s="16">
        <f>LN(U6/AC6)</f>
        <v>-3.31580555014492</v>
      </c>
      <c r="X6" s="10" t="s">
        <v>14</v>
      </c>
      <c r="Y6" s="216"/>
      <c r="Z6" s="162" t="s">
        <v>227</v>
      </c>
      <c r="AA6" s="189"/>
      <c r="AB6" s="86">
        <v>870.08000018550581</v>
      </c>
      <c r="AC6" s="48">
        <v>1031.208420763621</v>
      </c>
      <c r="AD6" s="82">
        <v>967198391.66388094</v>
      </c>
      <c r="AE6" s="82">
        <v>15247.831343075901</v>
      </c>
      <c r="AF6" s="17" t="s">
        <v>24</v>
      </c>
      <c r="AG6" s="13" t="s">
        <v>28</v>
      </c>
      <c r="AH6" s="14" t="s">
        <v>29</v>
      </c>
    </row>
    <row r="7" spans="1:34" s="18" customFormat="1" x14ac:dyDescent="0.2">
      <c r="A7" s="8">
        <v>4</v>
      </c>
      <c r="B7" s="9" t="s">
        <v>242</v>
      </c>
      <c r="C7" s="19" t="s">
        <v>18</v>
      </c>
      <c r="D7" s="11" t="s">
        <v>30</v>
      </c>
      <c r="E7" s="72" t="s">
        <v>241</v>
      </c>
      <c r="F7" s="12">
        <v>23.217148829999999</v>
      </c>
      <c r="G7" s="12">
        <v>25.339278406521743</v>
      </c>
      <c r="H7" s="12">
        <f t="shared" si="0"/>
        <v>-3.4774727346626944</v>
      </c>
      <c r="I7" s="12">
        <f t="shared" si="1"/>
        <v>-2.8511716671260383</v>
      </c>
      <c r="J7" s="13" t="s">
        <v>14</v>
      </c>
      <c r="K7" s="13"/>
      <c r="L7" s="179" t="s">
        <v>227</v>
      </c>
      <c r="M7" s="13"/>
      <c r="N7" s="68">
        <v>751.71999984899333</v>
      </c>
      <c r="O7" s="46">
        <v>438.57347829608267</v>
      </c>
      <c r="P7" s="79">
        <v>1018948750.4742399</v>
      </c>
      <c r="Q7" s="79">
        <v>15870.6604852091</v>
      </c>
      <c r="R7" s="15" t="s">
        <v>31</v>
      </c>
      <c r="S7" s="10" t="s">
        <v>20</v>
      </c>
      <c r="T7" s="16">
        <v>39.352444990000002</v>
      </c>
      <c r="U7" s="16">
        <v>25.448946405979992</v>
      </c>
      <c r="V7" s="16">
        <f>LN(T7/AB7)</f>
        <v>-0.8790003083350141</v>
      </c>
      <c r="W7" s="16">
        <f>LN(U7/AC7)</f>
        <v>-3.1742756138061834</v>
      </c>
      <c r="X7" s="19" t="s">
        <v>22</v>
      </c>
      <c r="Y7" s="196" t="s">
        <v>32</v>
      </c>
      <c r="Z7" s="162" t="s">
        <v>228</v>
      </c>
      <c r="AA7" s="189"/>
      <c r="AB7" s="86">
        <v>94.779999920695829</v>
      </c>
      <c r="AC7" s="48">
        <v>608.47142851187868</v>
      </c>
      <c r="AD7" s="82">
        <v>900903251.90790999</v>
      </c>
      <c r="AE7" s="82">
        <v>14604.086645802499</v>
      </c>
      <c r="AF7" s="17" t="s">
        <v>24</v>
      </c>
      <c r="AG7" s="13" t="s">
        <v>28</v>
      </c>
      <c r="AH7" s="14" t="s">
        <v>29</v>
      </c>
    </row>
    <row r="8" spans="1:34" s="18" customFormat="1" x14ac:dyDescent="0.2">
      <c r="A8" s="8">
        <v>5</v>
      </c>
      <c r="B8" s="20" t="s">
        <v>33</v>
      </c>
      <c r="C8" s="10" t="s">
        <v>34</v>
      </c>
      <c r="D8" s="11" t="s">
        <v>35</v>
      </c>
      <c r="E8" s="17" t="s">
        <v>20</v>
      </c>
      <c r="F8" s="12">
        <v>34.005144559999998</v>
      </c>
      <c r="G8" s="12">
        <v>34.005144559999998</v>
      </c>
      <c r="H8" s="12">
        <f t="shared" si="0"/>
        <v>-2.4943416085507764</v>
      </c>
      <c r="I8" s="12">
        <f t="shared" si="1"/>
        <v>-2.4943416085507764</v>
      </c>
      <c r="J8" s="19" t="s">
        <v>22</v>
      </c>
      <c r="K8" s="43" t="s">
        <v>36</v>
      </c>
      <c r="L8" s="179" t="s">
        <v>228</v>
      </c>
      <c r="M8" s="13" t="s">
        <v>225</v>
      </c>
      <c r="N8" s="68">
        <v>411.93000012650782</v>
      </c>
      <c r="O8" s="46">
        <v>411.93000012650782</v>
      </c>
      <c r="P8" s="79">
        <v>1197335880.4843199</v>
      </c>
      <c r="Q8" s="79">
        <v>15893.765525811301</v>
      </c>
      <c r="R8" s="15" t="s">
        <v>37</v>
      </c>
      <c r="S8" s="10" t="s">
        <v>20</v>
      </c>
      <c r="T8" s="16">
        <v>43.840206969999997</v>
      </c>
      <c r="U8" s="16">
        <v>37.041503642631575</v>
      </c>
      <c r="V8" s="16">
        <f>LN(T8/AB8)</f>
        <v>-2.813807375252437</v>
      </c>
      <c r="W8" s="16">
        <f>LN(U8/AC8)</f>
        <v>-2.7082645541870654</v>
      </c>
      <c r="X8" s="19" t="s">
        <v>22</v>
      </c>
      <c r="Y8" s="208" t="s">
        <v>23</v>
      </c>
      <c r="Z8" s="162" t="s">
        <v>228</v>
      </c>
      <c r="AA8" s="189" t="s">
        <v>225</v>
      </c>
      <c r="AB8" s="86">
        <v>730.96000016206062</v>
      </c>
      <c r="AC8" s="48">
        <v>555.74166681365045</v>
      </c>
      <c r="AD8" s="82">
        <v>1171360458.52423</v>
      </c>
      <c r="AE8" s="82">
        <v>14646.7522620322</v>
      </c>
      <c r="AF8" s="17" t="s">
        <v>178</v>
      </c>
      <c r="AG8" s="13" t="s">
        <v>38</v>
      </c>
      <c r="AH8" s="14" t="s">
        <v>39</v>
      </c>
    </row>
    <row r="9" spans="1:34" s="18" customFormat="1" x14ac:dyDescent="0.2">
      <c r="A9" s="8">
        <v>6</v>
      </c>
      <c r="B9" s="20" t="s">
        <v>33</v>
      </c>
      <c r="C9" s="10" t="s">
        <v>12</v>
      </c>
      <c r="D9" s="11" t="s">
        <v>40</v>
      </c>
      <c r="E9" s="17" t="s">
        <v>20</v>
      </c>
      <c r="F9" s="12">
        <v>10.352790089999999</v>
      </c>
      <c r="G9" s="12">
        <v>10.305216634941177</v>
      </c>
      <c r="H9" s="12">
        <f t="shared" si="0"/>
        <v>-3.22818346753427</v>
      </c>
      <c r="I9" s="12">
        <f t="shared" si="1"/>
        <v>-3.2403466522076894</v>
      </c>
      <c r="J9" s="13" t="s">
        <v>14</v>
      </c>
      <c r="K9" s="13"/>
      <c r="L9" s="179" t="s">
        <v>229</v>
      </c>
      <c r="M9" s="13"/>
      <c r="N9" s="68">
        <v>261.23999994663291</v>
      </c>
      <c r="O9" s="46">
        <v>263.22176469505297</v>
      </c>
      <c r="P9" s="79">
        <v>1190974462.6277201</v>
      </c>
      <c r="Q9" s="79">
        <v>15242.1040201672</v>
      </c>
      <c r="R9" s="15" t="s">
        <v>173</v>
      </c>
      <c r="S9" s="10" t="s">
        <v>20</v>
      </c>
      <c r="T9" s="16">
        <v>18.324749090000001</v>
      </c>
      <c r="U9" s="16">
        <v>17.214479605000001</v>
      </c>
      <c r="V9" s="16">
        <f>LN(T9/AB9)</f>
        <v>-3.9638651834592182</v>
      </c>
      <c r="W9" s="16">
        <f>LN(U9/AC9)</f>
        <v>-3.2204152260312777</v>
      </c>
      <c r="X9" s="10" t="s">
        <v>14</v>
      </c>
      <c r="Y9" s="216"/>
      <c r="Z9" s="162" t="s">
        <v>229</v>
      </c>
      <c r="AA9" s="189"/>
      <c r="AB9" s="86">
        <v>964.99000031213927</v>
      </c>
      <c r="AC9" s="48">
        <v>431.02500006134505</v>
      </c>
      <c r="AD9" s="82">
        <v>1184047588.3066499</v>
      </c>
      <c r="AE9" s="82">
        <v>15737.4512358353</v>
      </c>
      <c r="AF9" s="17" t="s">
        <v>179</v>
      </c>
      <c r="AG9" s="13" t="s">
        <v>41</v>
      </c>
      <c r="AH9" s="14" t="s">
        <v>42</v>
      </c>
    </row>
    <row r="10" spans="1:34" s="18" customFormat="1" ht="17" x14ac:dyDescent="0.2">
      <c r="A10" s="8">
        <v>7</v>
      </c>
      <c r="B10" s="19" t="s">
        <v>17</v>
      </c>
      <c r="C10" s="19" t="s">
        <v>18</v>
      </c>
      <c r="D10" s="11" t="s">
        <v>43</v>
      </c>
      <c r="E10" s="17" t="s">
        <v>20</v>
      </c>
      <c r="F10" s="12">
        <v>37.460306330000002</v>
      </c>
      <c r="G10" s="12">
        <v>37.561115860000001</v>
      </c>
      <c r="H10" s="12">
        <f t="shared" si="0"/>
        <v>-2.944936477012941</v>
      </c>
      <c r="I10" s="12">
        <f t="shared" si="1"/>
        <v>-3.2587253877897595</v>
      </c>
      <c r="J10" s="13" t="s">
        <v>14</v>
      </c>
      <c r="K10" s="13"/>
      <c r="L10" s="179" t="s">
        <v>228</v>
      </c>
      <c r="M10" s="13"/>
      <c r="N10" s="68">
        <v>712.10000037745499</v>
      </c>
      <c r="O10" s="46">
        <v>977.20333327166134</v>
      </c>
      <c r="P10" s="79">
        <v>1111532059.57686</v>
      </c>
      <c r="Q10" s="79">
        <v>15523.295099494901</v>
      </c>
      <c r="R10" s="15" t="s">
        <v>204</v>
      </c>
      <c r="S10" s="10" t="s">
        <v>20</v>
      </c>
      <c r="T10" s="16">
        <v>43.322805600000002</v>
      </c>
      <c r="U10" s="16">
        <v>42.345058653333332</v>
      </c>
      <c r="V10" s="16">
        <f>LN(T10/AB10)</f>
        <v>-3.5454274765961307</v>
      </c>
      <c r="W10" s="16">
        <f>LN(U10/AC10)</f>
        <v>-4.580332270147212</v>
      </c>
      <c r="X10" s="19" t="s">
        <v>22</v>
      </c>
      <c r="Y10" s="211" t="s">
        <v>23</v>
      </c>
      <c r="Z10" s="198" t="s">
        <v>228</v>
      </c>
      <c r="AA10" s="212"/>
      <c r="AB10" s="87">
        <v>1501.3300004120258</v>
      </c>
      <c r="AC10" s="48">
        <v>4130.6249976256295</v>
      </c>
      <c r="AD10" s="82">
        <v>1112078069.5850301</v>
      </c>
      <c r="AE10" s="82">
        <v>14761.8464962899</v>
      </c>
      <c r="AF10" s="17" t="s">
        <v>179</v>
      </c>
      <c r="AG10" s="13" t="s">
        <v>44</v>
      </c>
      <c r="AH10" s="14" t="s">
        <v>45</v>
      </c>
    </row>
    <row r="11" spans="1:34" s="18" customFormat="1" x14ac:dyDescent="0.2">
      <c r="A11" s="88">
        <v>8</v>
      </c>
      <c r="B11" s="9" t="s">
        <v>242</v>
      </c>
      <c r="C11" s="89" t="s">
        <v>12</v>
      </c>
      <c r="D11" s="90" t="s">
        <v>46</v>
      </c>
      <c r="E11" s="72" t="s">
        <v>241</v>
      </c>
      <c r="F11" s="91">
        <v>6.475186807</v>
      </c>
      <c r="G11" s="91">
        <v>23.221053297499999</v>
      </c>
      <c r="H11" s="12">
        <f t="shared" si="0"/>
        <v>-4.061611685885097</v>
      </c>
      <c r="I11" s="12">
        <f t="shared" si="1"/>
        <v>-2.3266496818069475</v>
      </c>
      <c r="J11" s="92" t="s">
        <v>14</v>
      </c>
      <c r="K11" s="92"/>
      <c r="L11" s="181" t="s">
        <v>235</v>
      </c>
      <c r="M11" s="92"/>
      <c r="N11" s="93">
        <v>376.000000062629</v>
      </c>
      <c r="O11" s="94">
        <v>237.86636364842596</v>
      </c>
      <c r="P11" s="95">
        <v>1234179044.8703799</v>
      </c>
      <c r="Q11" s="95">
        <v>15991.547029368099</v>
      </c>
      <c r="R11" s="96" t="s">
        <v>47</v>
      </c>
      <c r="S11" s="89" t="s">
        <v>20</v>
      </c>
      <c r="T11" s="97">
        <v>19.318631419999999</v>
      </c>
      <c r="U11" s="97">
        <v>10.928604820454545</v>
      </c>
      <c r="V11" s="16">
        <f>LN(T11/AB11)</f>
        <v>-1.4461369451022499</v>
      </c>
      <c r="W11" s="16">
        <f>LN(U11/AC11)</f>
        <v>-2.3989789711063714</v>
      </c>
      <c r="X11" s="89" t="s">
        <v>14</v>
      </c>
      <c r="Y11" s="216" t="s">
        <v>48</v>
      </c>
      <c r="Z11" s="162" t="s">
        <v>229</v>
      </c>
      <c r="AA11" s="189"/>
      <c r="AB11" s="86">
        <v>82.040000057364779</v>
      </c>
      <c r="AC11" s="98">
        <v>120.3450000567523</v>
      </c>
      <c r="AD11" s="99">
        <v>1072941785.17237</v>
      </c>
      <c r="AE11" s="99">
        <v>15079.664261615</v>
      </c>
      <c r="AF11" s="100" t="s">
        <v>179</v>
      </c>
      <c r="AG11" s="92" t="s">
        <v>49</v>
      </c>
      <c r="AH11" s="101" t="s">
        <v>50</v>
      </c>
    </row>
    <row r="12" spans="1:34" s="18" customFormat="1" x14ac:dyDescent="0.2">
      <c r="A12" s="8" t="s">
        <v>210</v>
      </c>
      <c r="B12" s="19" t="s">
        <v>17</v>
      </c>
      <c r="C12" s="19" t="s">
        <v>18</v>
      </c>
      <c r="D12" s="11" t="s">
        <v>51</v>
      </c>
      <c r="E12" s="17" t="s">
        <v>20</v>
      </c>
      <c r="F12" s="12">
        <v>13.402205110000001</v>
      </c>
      <c r="G12" s="12">
        <v>19.369522499428573</v>
      </c>
      <c r="H12" s="12">
        <f t="shared" si="0"/>
        <v>-1.5912005853541302</v>
      </c>
      <c r="I12" s="12">
        <f t="shared" si="1"/>
        <v>-1.5827743042709412</v>
      </c>
      <c r="J12" s="13" t="s">
        <v>14</v>
      </c>
      <c r="K12" s="13"/>
      <c r="L12" s="179" t="s">
        <v>229</v>
      </c>
      <c r="M12" s="13"/>
      <c r="N12" s="68">
        <v>65.800000058489644</v>
      </c>
      <c r="O12" s="46">
        <v>94.299428562035501</v>
      </c>
      <c r="P12" s="79">
        <v>1129445982.87411</v>
      </c>
      <c r="Q12" s="79">
        <v>14258.728059041399</v>
      </c>
      <c r="R12" s="15" t="s">
        <v>52</v>
      </c>
      <c r="S12" s="10" t="s">
        <v>20</v>
      </c>
      <c r="T12" s="16">
        <v>49.201626640000001</v>
      </c>
      <c r="U12" s="16">
        <v>36.479997328103451</v>
      </c>
      <c r="V12" s="16">
        <f>LN(T12/AB12)</f>
        <v>-0.8168415112321505</v>
      </c>
      <c r="W12" s="16">
        <f>LN(U12/AC12)</f>
        <v>-0.7324701496011224</v>
      </c>
      <c r="X12" s="19" t="s">
        <v>22</v>
      </c>
      <c r="Y12" s="102" t="s">
        <v>53</v>
      </c>
      <c r="Z12" s="162" t="s">
        <v>228</v>
      </c>
      <c r="AA12" s="189"/>
      <c r="AB12" s="86">
        <v>111.35999993166865</v>
      </c>
      <c r="AC12" s="48">
        <v>75.886153851766878</v>
      </c>
      <c r="AD12" s="82">
        <v>1150976505.9448299</v>
      </c>
      <c r="AE12" s="82">
        <v>14981.042495559501</v>
      </c>
      <c r="AF12" s="17" t="s">
        <v>179</v>
      </c>
      <c r="AG12" s="13" t="s">
        <v>49</v>
      </c>
      <c r="AH12" s="14" t="s">
        <v>50</v>
      </c>
    </row>
    <row r="13" spans="1:34" s="18" customFormat="1" x14ac:dyDescent="0.2">
      <c r="A13" s="8">
        <v>10</v>
      </c>
      <c r="B13" s="9" t="s">
        <v>11</v>
      </c>
      <c r="C13" s="19" t="s">
        <v>18</v>
      </c>
      <c r="D13" s="11" t="s">
        <v>54</v>
      </c>
      <c r="E13" s="73" t="s">
        <v>171</v>
      </c>
      <c r="F13" s="12">
        <v>9.1076696170000009</v>
      </c>
      <c r="G13" s="12">
        <v>9.9822511089999999</v>
      </c>
      <c r="H13" s="12">
        <f t="shared" si="0"/>
        <v>-2.788095399246117</v>
      </c>
      <c r="I13" s="12">
        <f t="shared" si="1"/>
        <v>-2.5893901136858344</v>
      </c>
      <c r="J13" s="13" t="s">
        <v>14</v>
      </c>
      <c r="K13" s="13"/>
      <c r="L13" s="176" t="s">
        <v>238</v>
      </c>
      <c r="M13" s="13"/>
      <c r="N13" s="68">
        <v>147.9999998654055</v>
      </c>
      <c r="O13" s="46">
        <v>132.97999994995396</v>
      </c>
      <c r="P13" s="79">
        <v>1117618984.0558</v>
      </c>
      <c r="Q13" s="79">
        <v>15693.788006369299</v>
      </c>
      <c r="R13" s="15" t="s">
        <v>55</v>
      </c>
      <c r="S13" s="10" t="s">
        <v>20</v>
      </c>
      <c r="T13" s="16">
        <v>54.206644400000002</v>
      </c>
      <c r="U13" s="16">
        <v>54.434054588750001</v>
      </c>
      <c r="V13" s="16">
        <f>LN(T13/AB13)</f>
        <v>-1.830242403505781</v>
      </c>
      <c r="W13" s="16">
        <f>LN(U13/AC13)</f>
        <v>-1.5173506672270696</v>
      </c>
      <c r="X13" s="19" t="s">
        <v>22</v>
      </c>
      <c r="Y13" s="45" t="s">
        <v>56</v>
      </c>
      <c r="Z13" s="162" t="s">
        <v>228</v>
      </c>
      <c r="AA13" s="189"/>
      <c r="AB13" s="86">
        <v>337.99999978390878</v>
      </c>
      <c r="AC13" s="48">
        <v>248.22625000977195</v>
      </c>
      <c r="AD13" s="82">
        <v>1095795780.9753101</v>
      </c>
      <c r="AE13" s="82">
        <v>14979.455925365201</v>
      </c>
      <c r="AF13" s="17" t="s">
        <v>180</v>
      </c>
      <c r="AG13" s="13"/>
      <c r="AH13" s="14"/>
    </row>
    <row r="14" spans="1:34" s="18" customFormat="1" x14ac:dyDescent="0.2">
      <c r="A14" s="8">
        <v>11</v>
      </c>
      <c r="B14" s="19" t="s">
        <v>17</v>
      </c>
      <c r="C14" s="19" t="s">
        <v>18</v>
      </c>
      <c r="D14" s="11" t="s">
        <v>57</v>
      </c>
      <c r="E14" s="17" t="s">
        <v>20</v>
      </c>
      <c r="F14" s="12">
        <v>44.180791370000001</v>
      </c>
      <c r="G14" s="12">
        <v>37.017598020800008</v>
      </c>
      <c r="H14" s="12">
        <f t="shared" si="0"/>
        <v>-2.0815716154494335</v>
      </c>
      <c r="I14" s="12">
        <f t="shared" si="1"/>
        <v>-1.9947188903814637</v>
      </c>
      <c r="J14" s="13" t="s">
        <v>14</v>
      </c>
      <c r="K14" s="13"/>
      <c r="L14" s="179" t="s">
        <v>228</v>
      </c>
      <c r="M14" s="13"/>
      <c r="N14" s="68">
        <v>354.20000011902846</v>
      </c>
      <c r="O14" s="46">
        <v>272.0843999604694</v>
      </c>
      <c r="P14" s="79">
        <v>1103041213.5639801</v>
      </c>
      <c r="Q14" s="79">
        <v>15051.836823059</v>
      </c>
      <c r="R14" s="15" t="s">
        <v>58</v>
      </c>
      <c r="S14" s="10" t="s">
        <v>20</v>
      </c>
      <c r="T14" s="16">
        <v>36.234793099999997</v>
      </c>
      <c r="U14" s="16">
        <v>35.804541989999997</v>
      </c>
      <c r="V14" s="16">
        <f>LN(T14/AB14)</f>
        <v>-2.313432877961185</v>
      </c>
      <c r="W14" s="16">
        <f>LN(U14/AC14)</f>
        <v>-1.9961549546800277</v>
      </c>
      <c r="X14" s="19" t="s">
        <v>22</v>
      </c>
      <c r="Y14" s="45" t="s">
        <v>56</v>
      </c>
      <c r="Z14" s="162" t="s">
        <v>228</v>
      </c>
      <c r="AA14" s="189"/>
      <c r="AB14" s="86">
        <v>366.30000028293529</v>
      </c>
      <c r="AC14" s="48">
        <v>263.54647055334738</v>
      </c>
      <c r="AD14" s="82">
        <v>1069600346.19291</v>
      </c>
      <c r="AE14" s="82">
        <v>14529.21351955</v>
      </c>
      <c r="AF14" s="17" t="s">
        <v>180</v>
      </c>
      <c r="AG14" s="13" t="s">
        <v>59</v>
      </c>
      <c r="AH14" s="14" t="s">
        <v>60</v>
      </c>
    </row>
    <row r="15" spans="1:34" s="18" customFormat="1" x14ac:dyDescent="0.2">
      <c r="A15" s="8">
        <v>12</v>
      </c>
      <c r="B15" s="9" t="s">
        <v>242</v>
      </c>
      <c r="C15" s="10" t="s">
        <v>12</v>
      </c>
      <c r="D15" s="11" t="s">
        <v>61</v>
      </c>
      <c r="E15" s="72" t="s">
        <v>241</v>
      </c>
      <c r="F15" s="12">
        <v>9.6244142789999998</v>
      </c>
      <c r="G15" s="12">
        <v>8.1345912139999985</v>
      </c>
      <c r="H15" s="12">
        <f t="shared" si="0"/>
        <v>-4.6691200020546715</v>
      </c>
      <c r="I15" s="12">
        <f t="shared" si="1"/>
        <v>-4.940486105332669</v>
      </c>
      <c r="J15" s="13" t="s">
        <v>14</v>
      </c>
      <c r="K15" s="13"/>
      <c r="L15" s="179" t="s">
        <v>227</v>
      </c>
      <c r="M15" s="13"/>
      <c r="N15" s="68">
        <v>1026.0000005296681</v>
      </c>
      <c r="O15" s="46">
        <v>1137.5266674524003</v>
      </c>
      <c r="P15" s="79">
        <v>1174938589.4771399</v>
      </c>
      <c r="Q15" s="79">
        <v>15769.094351969399</v>
      </c>
      <c r="R15" s="15" t="s">
        <v>62</v>
      </c>
      <c r="S15" s="10" t="s">
        <v>20</v>
      </c>
      <c r="T15" s="16">
        <v>37.97820359</v>
      </c>
      <c r="U15" s="16">
        <v>39.261993049375</v>
      </c>
      <c r="V15" s="16">
        <f>LN(T15/AB15)</f>
        <v>-4.598345587903552</v>
      </c>
      <c r="W15" s="16">
        <f>LN(U15/AC15)</f>
        <v>-4.852074888325083</v>
      </c>
      <c r="X15" s="10" t="s">
        <v>14</v>
      </c>
      <c r="Y15" s="103"/>
      <c r="Z15" s="162" t="s">
        <v>229</v>
      </c>
      <c r="AA15" s="189"/>
      <c r="AB15" s="86">
        <v>3771.9900026072137</v>
      </c>
      <c r="AC15" s="48">
        <v>5025.759376840283</v>
      </c>
      <c r="AD15" s="82">
        <v>1154809394.9895501</v>
      </c>
      <c r="AE15" s="82">
        <v>15239.8769227417</v>
      </c>
      <c r="AF15" s="17" t="s">
        <v>181</v>
      </c>
      <c r="AG15" s="13" t="s">
        <v>63</v>
      </c>
      <c r="AH15" s="14"/>
    </row>
    <row r="16" spans="1:34" s="18" customFormat="1" x14ac:dyDescent="0.2">
      <c r="A16" s="8" t="s">
        <v>211</v>
      </c>
      <c r="B16" s="9" t="s">
        <v>11</v>
      </c>
      <c r="C16" s="10" t="s">
        <v>12</v>
      </c>
      <c r="D16" s="11" t="s">
        <v>174</v>
      </c>
      <c r="E16" s="71" t="s">
        <v>172</v>
      </c>
      <c r="F16" s="12">
        <v>0.18463009899999999</v>
      </c>
      <c r="G16" s="12">
        <v>22.158963342228347</v>
      </c>
      <c r="H16" s="12">
        <f t="shared" si="0"/>
        <v>-5.359861788334337</v>
      </c>
      <c r="I16" s="12">
        <f t="shared" si="1"/>
        <v>-2.654389885430952</v>
      </c>
      <c r="J16" s="22" t="s">
        <v>14</v>
      </c>
      <c r="K16" s="22"/>
      <c r="L16" s="177" t="s">
        <v>224</v>
      </c>
      <c r="M16" s="13"/>
      <c r="N16" s="69">
        <v>39.26999997554811</v>
      </c>
      <c r="O16" s="47">
        <v>315.01868849786854</v>
      </c>
      <c r="P16" s="80">
        <v>1220854836.1730599</v>
      </c>
      <c r="Q16" s="80">
        <v>16353.785226848</v>
      </c>
      <c r="R16" s="15" t="s">
        <v>64</v>
      </c>
      <c r="S16" s="24" t="s">
        <v>20</v>
      </c>
      <c r="T16" s="16">
        <v>36.247463029999999</v>
      </c>
      <c r="U16" s="16">
        <v>21.525801973333333</v>
      </c>
      <c r="V16" s="16">
        <f>LN(T16/AB16)</f>
        <v>-1.292432528640102</v>
      </c>
      <c r="W16" s="16">
        <f>LN(U16/AC16)</f>
        <v>-1.7909605331393847</v>
      </c>
      <c r="X16" s="24" t="s">
        <v>14</v>
      </c>
      <c r="Y16" s="24"/>
      <c r="Z16" s="162" t="s">
        <v>228</v>
      </c>
      <c r="AA16" s="189" t="s">
        <v>225</v>
      </c>
      <c r="AB16" s="86">
        <v>131.99999993743378</v>
      </c>
      <c r="AC16" s="48">
        <v>129.05166660850594</v>
      </c>
      <c r="AD16" s="83">
        <v>1108060246.9022</v>
      </c>
      <c r="AE16" s="83">
        <v>15506.160908038</v>
      </c>
      <c r="AF16" s="17" t="s">
        <v>181</v>
      </c>
      <c r="AG16" s="13" t="s">
        <v>63</v>
      </c>
      <c r="AH16" s="14"/>
    </row>
    <row r="17" spans="1:34" s="18" customFormat="1" x14ac:dyDescent="0.2">
      <c r="A17" s="104">
        <v>14</v>
      </c>
      <c r="B17" s="105" t="s">
        <v>33</v>
      </c>
      <c r="C17" s="106" t="s">
        <v>34</v>
      </c>
      <c r="D17" s="107" t="s">
        <v>65</v>
      </c>
      <c r="E17" s="108" t="s">
        <v>20</v>
      </c>
      <c r="F17" s="109">
        <v>52.619160190000002</v>
      </c>
      <c r="G17" s="109">
        <v>52.523437236363634</v>
      </c>
      <c r="H17" s="12">
        <f t="shared" si="0"/>
        <v>-0.6058407384076672</v>
      </c>
      <c r="I17" s="12">
        <f t="shared" si="1"/>
        <v>-0.2073348059799837</v>
      </c>
      <c r="J17" s="110" t="s">
        <v>22</v>
      </c>
      <c r="K17" s="174" t="s">
        <v>36</v>
      </c>
      <c r="L17" s="180" t="s">
        <v>229</v>
      </c>
      <c r="M17" s="169"/>
      <c r="N17" s="112">
        <v>96.440000065415703</v>
      </c>
      <c r="O17" s="113">
        <v>64.624545473384259</v>
      </c>
      <c r="P17" s="114">
        <v>1215932822.8123901</v>
      </c>
      <c r="Q17" s="114">
        <v>14598.5777923478</v>
      </c>
      <c r="R17" s="115" t="s">
        <v>175</v>
      </c>
      <c r="S17" s="116" t="s">
        <v>20</v>
      </c>
      <c r="T17" s="117">
        <v>54.985272709999997</v>
      </c>
      <c r="U17" s="117">
        <v>51.981876338695649</v>
      </c>
      <c r="V17" s="16">
        <f>LN(T17/AB17)</f>
        <v>0.26227829527821866</v>
      </c>
      <c r="W17" s="16">
        <f>LN(U17/AC17)</f>
        <v>-0.14388116129730075</v>
      </c>
      <c r="X17" s="110" t="s">
        <v>22</v>
      </c>
      <c r="Y17" s="197" t="s">
        <v>66</v>
      </c>
      <c r="Z17" s="162" t="s">
        <v>229</v>
      </c>
      <c r="AA17" s="189"/>
      <c r="AB17" s="86">
        <v>42.299999963471144</v>
      </c>
      <c r="AC17" s="118">
        <v>60.025909089823386</v>
      </c>
      <c r="AD17" s="119">
        <v>1236848961.0297301</v>
      </c>
      <c r="AE17" s="119">
        <v>16007.1544764501</v>
      </c>
      <c r="AF17" s="120" t="s">
        <v>181</v>
      </c>
      <c r="AG17" s="111" t="s">
        <v>67</v>
      </c>
      <c r="AH17" s="121" t="s">
        <v>68</v>
      </c>
    </row>
    <row r="18" spans="1:34" s="18" customFormat="1" ht="17" x14ac:dyDescent="0.2">
      <c r="A18" s="8">
        <v>15</v>
      </c>
      <c r="B18" s="9" t="s">
        <v>11</v>
      </c>
      <c r="C18" s="19" t="s">
        <v>18</v>
      </c>
      <c r="D18" s="11" t="s">
        <v>203</v>
      </c>
      <c r="E18" s="71" t="s">
        <v>172</v>
      </c>
      <c r="F18" s="12">
        <v>53.84</v>
      </c>
      <c r="G18" s="12">
        <v>53.84</v>
      </c>
      <c r="H18" s="12">
        <f t="shared" si="0"/>
        <v>-4.479883211692215</v>
      </c>
      <c r="I18" s="12">
        <f t="shared" si="1"/>
        <v>-4.479883211692215</v>
      </c>
      <c r="J18" s="13" t="s">
        <v>69</v>
      </c>
      <c r="K18" s="170"/>
      <c r="L18" s="181" t="s">
        <v>233</v>
      </c>
      <c r="M18" s="175" t="s">
        <v>226</v>
      </c>
      <c r="N18" s="68">
        <v>4750</v>
      </c>
      <c r="O18" s="46">
        <v>4750</v>
      </c>
      <c r="P18" s="79">
        <v>26111648.131550301</v>
      </c>
      <c r="Q18" s="79">
        <v>15646.594324923401</v>
      </c>
      <c r="R18" s="23" t="s">
        <v>70</v>
      </c>
      <c r="S18" s="24" t="s">
        <v>20</v>
      </c>
      <c r="T18" s="16">
        <v>56.798641920000001</v>
      </c>
      <c r="U18" s="16">
        <v>56.798641920000001</v>
      </c>
      <c r="V18" s="16">
        <f>LN(T18/AB18)</f>
        <v>-2.5480238258692256</v>
      </c>
      <c r="W18" s="16">
        <f>LN(U18/AC18)</f>
        <v>-2.5480238258692256</v>
      </c>
      <c r="X18" s="19" t="s">
        <v>22</v>
      </c>
      <c r="Y18" s="209" t="s">
        <v>71</v>
      </c>
      <c r="Z18" s="194" t="s">
        <v>228</v>
      </c>
      <c r="AA18" s="195" t="s">
        <v>226</v>
      </c>
      <c r="AB18" s="210">
        <v>725.99000059972718</v>
      </c>
      <c r="AC18" s="48">
        <v>725.99000059972718</v>
      </c>
      <c r="AD18" s="82">
        <v>1175339792.1315501</v>
      </c>
      <c r="AE18" s="82">
        <v>16095.594324923401</v>
      </c>
      <c r="AF18" s="17" t="s">
        <v>181</v>
      </c>
      <c r="AG18" s="13" t="s">
        <v>67</v>
      </c>
      <c r="AH18" s="14" t="s">
        <v>72</v>
      </c>
    </row>
    <row r="19" spans="1:34" s="18" customFormat="1" x14ac:dyDescent="0.2">
      <c r="A19" s="8" t="s">
        <v>212</v>
      </c>
      <c r="B19" s="9" t="s">
        <v>11</v>
      </c>
      <c r="C19" s="19" t="s">
        <v>18</v>
      </c>
      <c r="D19" s="11" t="s">
        <v>73</v>
      </c>
      <c r="E19" s="73" t="s">
        <v>171</v>
      </c>
      <c r="F19" s="12">
        <v>14.028704919999999</v>
      </c>
      <c r="G19" s="12">
        <v>15.002463344999999</v>
      </c>
      <c r="H19" s="12">
        <f t="shared" si="0"/>
        <v>-4.115815178689886</v>
      </c>
      <c r="I19" s="12">
        <f t="shared" si="1"/>
        <v>-3.5740429900439254</v>
      </c>
      <c r="J19" s="13" t="s">
        <v>14</v>
      </c>
      <c r="K19" s="169"/>
      <c r="L19" s="176" t="s">
        <v>234</v>
      </c>
      <c r="M19" s="14"/>
      <c r="N19" s="68">
        <v>859.98999944876982</v>
      </c>
      <c r="O19" s="46">
        <v>534.99499978871575</v>
      </c>
      <c r="P19" s="79">
        <v>1117650131.0004699</v>
      </c>
      <c r="Q19" s="79">
        <v>15224.6011116681</v>
      </c>
      <c r="R19" s="15" t="s">
        <v>74</v>
      </c>
      <c r="S19" s="10" t="s">
        <v>20</v>
      </c>
      <c r="T19" s="16">
        <v>70.379278099999993</v>
      </c>
      <c r="U19" s="16">
        <v>69.231126376666666</v>
      </c>
      <c r="V19" s="16">
        <f>LN(T19/AB19)</f>
        <v>-1.5392366769864683</v>
      </c>
      <c r="W19" s="16">
        <f>LN(U19/AC19)</f>
        <v>-2.1312510696078775</v>
      </c>
      <c r="X19" s="19" t="s">
        <v>22</v>
      </c>
      <c r="Y19" s="208" t="s">
        <v>75</v>
      </c>
      <c r="Z19" s="162" t="s">
        <v>229</v>
      </c>
      <c r="AA19" s="189"/>
      <c r="AB19" s="86">
        <v>328.03999983065182</v>
      </c>
      <c r="AC19" s="48">
        <v>583.30000027521669</v>
      </c>
      <c r="AD19" s="82">
        <v>1183155367.63938</v>
      </c>
      <c r="AE19" s="82">
        <v>15268.4300809134</v>
      </c>
      <c r="AF19" s="17" t="s">
        <v>182</v>
      </c>
      <c r="AG19" s="13"/>
      <c r="AH19" s="14"/>
    </row>
    <row r="20" spans="1:34" s="18" customFormat="1" x14ac:dyDescent="0.2">
      <c r="A20" s="8" t="s">
        <v>213</v>
      </c>
      <c r="B20" s="9" t="s">
        <v>11</v>
      </c>
      <c r="C20" s="19" t="s">
        <v>18</v>
      </c>
      <c r="D20" s="11" t="s">
        <v>76</v>
      </c>
      <c r="E20" s="71" t="s">
        <v>172</v>
      </c>
      <c r="F20" s="12">
        <v>3.6908680660000002</v>
      </c>
      <c r="G20" s="12">
        <v>5.1945959309473695</v>
      </c>
      <c r="H20" s="12">
        <f t="shared" si="0"/>
        <v>-9.115506451971036</v>
      </c>
      <c r="I20" s="12">
        <f t="shared" si="1"/>
        <v>-7.036969222674609</v>
      </c>
      <c r="J20" s="13" t="s">
        <v>69</v>
      </c>
      <c r="K20" s="169"/>
      <c r="L20" s="179" t="s">
        <v>233</v>
      </c>
      <c r="M20" s="14" t="s">
        <v>226</v>
      </c>
      <c r="N20" s="68">
        <v>33569.329970345309</v>
      </c>
      <c r="O20" s="46">
        <v>5911.1049980285643</v>
      </c>
      <c r="P20" s="79">
        <v>1246104098.11099</v>
      </c>
      <c r="Q20" s="79">
        <v>14559.664790336101</v>
      </c>
      <c r="R20" s="15" t="s">
        <v>77</v>
      </c>
      <c r="S20" s="10" t="s">
        <v>20</v>
      </c>
      <c r="T20" s="16">
        <v>47.71218494</v>
      </c>
      <c r="U20" s="16">
        <v>58.581831847443631</v>
      </c>
      <c r="V20" s="16">
        <f>LN(T20/AB20)</f>
        <v>-1.1590883647046872</v>
      </c>
      <c r="W20" s="16">
        <f>LN(U20/AC20)</f>
        <v>-2.873301363034383</v>
      </c>
      <c r="X20" s="19" t="s">
        <v>22</v>
      </c>
      <c r="Y20" s="208" t="s">
        <v>78</v>
      </c>
      <c r="Z20" s="162" t="s">
        <v>228</v>
      </c>
      <c r="AA20" s="189" t="s">
        <v>226</v>
      </c>
      <c r="AB20" s="86">
        <v>152.05999994722319</v>
      </c>
      <c r="AC20" s="48">
        <v>1036.625468597744</v>
      </c>
      <c r="AD20" s="82">
        <v>1228911136.8915601</v>
      </c>
      <c r="AE20" s="82">
        <v>16931.649180421198</v>
      </c>
      <c r="AF20" s="17" t="s">
        <v>183</v>
      </c>
      <c r="AG20" s="13"/>
      <c r="AH20" s="14"/>
    </row>
    <row r="21" spans="1:34" s="18" customFormat="1" x14ac:dyDescent="0.2">
      <c r="A21" s="8" t="s">
        <v>214</v>
      </c>
      <c r="B21" s="9" t="s">
        <v>11</v>
      </c>
      <c r="C21" s="19" t="s">
        <v>18</v>
      </c>
      <c r="D21" s="11" t="s">
        <v>176</v>
      </c>
      <c r="E21" s="71" t="s">
        <v>172</v>
      </c>
      <c r="F21" s="12">
        <v>22.977195420000001</v>
      </c>
      <c r="G21" s="12">
        <v>34.048912552941182</v>
      </c>
      <c r="H21" s="12">
        <f t="shared" si="0"/>
        <v>-4.877390057555045</v>
      </c>
      <c r="I21" s="12">
        <f t="shared" si="1"/>
        <v>-4.098006711155772</v>
      </c>
      <c r="J21" s="22" t="s">
        <v>14</v>
      </c>
      <c r="K21" s="166"/>
      <c r="L21" s="177" t="s">
        <v>224</v>
      </c>
      <c r="M21" s="14" t="s">
        <v>225</v>
      </c>
      <c r="N21" s="69">
        <v>3016.6199995422653</v>
      </c>
      <c r="O21" s="47">
        <v>2050.4300004835709</v>
      </c>
      <c r="P21" s="80">
        <v>1192134113.12672</v>
      </c>
      <c r="Q21" s="80">
        <v>16170.983685412901</v>
      </c>
      <c r="R21" s="23" t="s">
        <v>79</v>
      </c>
      <c r="S21" s="24" t="s">
        <v>20</v>
      </c>
      <c r="T21" s="16">
        <v>38.683468650000002</v>
      </c>
      <c r="U21" s="16">
        <v>36.837256303999993</v>
      </c>
      <c r="V21" s="16">
        <f>LN(T21/AB21)</f>
        <v>-4.180155043153732</v>
      </c>
      <c r="W21" s="16">
        <f>LN(U21/AC21)</f>
        <v>-3.832889668186464</v>
      </c>
      <c r="X21" s="19" t="s">
        <v>22</v>
      </c>
      <c r="Y21" s="208" t="s">
        <v>23</v>
      </c>
      <c r="Z21" s="162" t="s">
        <v>228</v>
      </c>
      <c r="AA21" s="189" t="s">
        <v>225</v>
      </c>
      <c r="AB21" s="86">
        <v>2528.9700026749633</v>
      </c>
      <c r="AC21" s="48">
        <v>1701.7278577689453</v>
      </c>
      <c r="AD21" s="83">
        <v>1171072281.4948001</v>
      </c>
      <c r="AE21" s="83">
        <v>14442.322374466699</v>
      </c>
      <c r="AF21" s="17" t="s">
        <v>184</v>
      </c>
      <c r="AG21" s="13" t="s">
        <v>80</v>
      </c>
      <c r="AH21" s="14" t="s">
        <v>81</v>
      </c>
    </row>
    <row r="22" spans="1:34" s="18" customFormat="1" x14ac:dyDescent="0.2">
      <c r="A22" s="8">
        <v>19</v>
      </c>
      <c r="B22" s="19" t="s">
        <v>17</v>
      </c>
      <c r="C22" s="19" t="s">
        <v>18</v>
      </c>
      <c r="D22" s="11" t="s">
        <v>82</v>
      </c>
      <c r="E22" s="17" t="s">
        <v>20</v>
      </c>
      <c r="F22" s="12">
        <v>24.94867571</v>
      </c>
      <c r="G22" s="12">
        <v>34.601887872500001</v>
      </c>
      <c r="H22" s="12">
        <f t="shared" si="0"/>
        <v>-3.4112206342947053</v>
      </c>
      <c r="I22" s="12">
        <f t="shared" si="1"/>
        <v>-3.5288041154765204</v>
      </c>
      <c r="J22" s="13" t="s">
        <v>14</v>
      </c>
      <c r="K22" s="169"/>
      <c r="L22" s="182" t="s">
        <v>228</v>
      </c>
      <c r="M22" s="14"/>
      <c r="N22" s="68">
        <v>756.00000086827697</v>
      </c>
      <c r="O22" s="46">
        <v>1179.3425000782379</v>
      </c>
      <c r="P22" s="79">
        <v>1206704702.2111299</v>
      </c>
      <c r="Q22" s="79">
        <v>16103.066567985001</v>
      </c>
      <c r="R22" s="15" t="s">
        <v>83</v>
      </c>
      <c r="S22" s="10" t="s">
        <v>20</v>
      </c>
      <c r="T22" s="16">
        <v>36.214709560000003</v>
      </c>
      <c r="U22" s="16">
        <v>35.445883941999995</v>
      </c>
      <c r="V22" s="16">
        <f>LN(T22/AB22)</f>
        <v>-3.960143787529283</v>
      </c>
      <c r="W22" s="16">
        <f>LN(U22/AC22)</f>
        <v>-3.6735204510351616</v>
      </c>
      <c r="X22" s="19" t="s">
        <v>84</v>
      </c>
      <c r="Y22" s="208" t="s">
        <v>85</v>
      </c>
      <c r="Z22" s="162" t="s">
        <v>229</v>
      </c>
      <c r="AA22" s="189"/>
      <c r="AB22" s="86">
        <v>1900.0000002063712</v>
      </c>
      <c r="AC22" s="48">
        <v>1396.2252001106829</v>
      </c>
      <c r="AD22" s="82">
        <v>1245255772.0404699</v>
      </c>
      <c r="AE22" s="82">
        <v>14519.970453236199</v>
      </c>
      <c r="AF22" s="17" t="s">
        <v>184</v>
      </c>
      <c r="AG22" s="13" t="s">
        <v>86</v>
      </c>
      <c r="AH22" s="14" t="s">
        <v>87</v>
      </c>
    </row>
    <row r="23" spans="1:34" s="18" customFormat="1" x14ac:dyDescent="0.2">
      <c r="A23" s="8">
        <v>20</v>
      </c>
      <c r="B23" s="19" t="s">
        <v>17</v>
      </c>
      <c r="C23" s="19" t="s">
        <v>18</v>
      </c>
      <c r="D23" s="11" t="s">
        <v>88</v>
      </c>
      <c r="E23" s="74" t="s">
        <v>20</v>
      </c>
      <c r="F23" s="12">
        <v>36.07840977</v>
      </c>
      <c r="G23" s="12">
        <v>36.07840977</v>
      </c>
      <c r="H23" s="12">
        <f t="shared" si="0"/>
        <v>-2.571284367315879</v>
      </c>
      <c r="I23" s="12">
        <f t="shared" si="1"/>
        <v>-2.571284367315879</v>
      </c>
      <c r="J23" s="22" t="s">
        <v>14</v>
      </c>
      <c r="K23" s="166"/>
      <c r="L23" s="183" t="s">
        <v>229</v>
      </c>
      <c r="M23" s="14"/>
      <c r="N23" s="68">
        <v>472.00000039768133</v>
      </c>
      <c r="O23" s="46">
        <v>472.00000039768133</v>
      </c>
      <c r="P23" s="79">
        <v>1150644276.7462399</v>
      </c>
      <c r="Q23" s="79">
        <v>15051.435374283999</v>
      </c>
      <c r="R23" s="23" t="s">
        <v>89</v>
      </c>
      <c r="S23" s="24" t="s">
        <v>20</v>
      </c>
      <c r="T23" s="16">
        <v>43.28592922</v>
      </c>
      <c r="U23" s="16">
        <v>44.832231247500005</v>
      </c>
      <c r="V23" s="16">
        <f>LN(T23/AB23)</f>
        <v>-5.392491278669036</v>
      </c>
      <c r="W23" s="16">
        <f>LN(U23/AC23)</f>
        <v>-4.880503980498229</v>
      </c>
      <c r="X23" s="19" t="s">
        <v>22</v>
      </c>
      <c r="Y23" s="208" t="s">
        <v>36</v>
      </c>
      <c r="Z23" s="162" t="s">
        <v>229</v>
      </c>
      <c r="AA23" s="189" t="s">
        <v>225</v>
      </c>
      <c r="AB23" s="86">
        <v>9512.0900050500404</v>
      </c>
      <c r="AC23" s="48">
        <v>5904.2712504522642</v>
      </c>
      <c r="AD23" s="82">
        <v>1185649867.7650199</v>
      </c>
      <c r="AE23" s="82">
        <v>15141.3494668729</v>
      </c>
      <c r="AF23" s="17" t="s">
        <v>184</v>
      </c>
      <c r="AG23" s="13" t="s">
        <v>86</v>
      </c>
      <c r="AH23" s="14"/>
    </row>
    <row r="24" spans="1:34" s="18" customFormat="1" x14ac:dyDescent="0.2">
      <c r="A24" s="8">
        <v>21</v>
      </c>
      <c r="B24" s="19" t="s">
        <v>17</v>
      </c>
      <c r="C24" s="19" t="s">
        <v>18</v>
      </c>
      <c r="D24" s="11" t="s">
        <v>90</v>
      </c>
      <c r="E24" s="74" t="s">
        <v>20</v>
      </c>
      <c r="F24" s="12">
        <v>28.257246890000001</v>
      </c>
      <c r="G24" s="12">
        <v>28.257246890000001</v>
      </c>
      <c r="H24" s="12">
        <f t="shared" si="0"/>
        <v>-3.125121313742418</v>
      </c>
      <c r="I24" s="12">
        <f t="shared" si="1"/>
        <v>-3.125121313742418</v>
      </c>
      <c r="J24" s="22" t="s">
        <v>14</v>
      </c>
      <c r="K24" s="172"/>
      <c r="L24" s="184" t="s">
        <v>229</v>
      </c>
      <c r="M24" s="178"/>
      <c r="N24" s="68">
        <v>643.21000032770746</v>
      </c>
      <c r="O24" s="46">
        <v>643.21000032770746</v>
      </c>
      <c r="P24" s="79">
        <v>1168969818.60271</v>
      </c>
      <c r="Q24" s="79">
        <v>15326.5723219425</v>
      </c>
      <c r="R24" s="23" t="s">
        <v>91</v>
      </c>
      <c r="S24" s="24" t="s">
        <v>20</v>
      </c>
      <c r="T24" s="16">
        <v>33.096865719999997</v>
      </c>
      <c r="U24" s="16">
        <v>31.781411712295093</v>
      </c>
      <c r="V24" s="16">
        <f>LN(T24/AB24)</f>
        <v>-2.243564601106168</v>
      </c>
      <c r="W24" s="16">
        <f>LN(U24/AC24)</f>
        <v>-3.059751456830186</v>
      </c>
      <c r="X24" s="19" t="s">
        <v>22</v>
      </c>
      <c r="Y24" s="211" t="s">
        <v>23</v>
      </c>
      <c r="Z24" s="198" t="s">
        <v>229</v>
      </c>
      <c r="AA24" s="212"/>
      <c r="AB24" s="87">
        <v>311.99999998675048</v>
      </c>
      <c r="AC24" s="48">
        <v>677.65142841758222</v>
      </c>
      <c r="AD24" s="82">
        <v>1203160495.6277101</v>
      </c>
      <c r="AE24" s="82">
        <v>14323.2915692312</v>
      </c>
      <c r="AF24" s="17" t="s">
        <v>184</v>
      </c>
      <c r="AG24" s="13" t="s">
        <v>86</v>
      </c>
      <c r="AH24" s="14" t="s">
        <v>92</v>
      </c>
    </row>
    <row r="25" spans="1:34" s="18" customFormat="1" x14ac:dyDescent="0.2">
      <c r="A25" s="88">
        <v>22</v>
      </c>
      <c r="B25" s="122" t="s">
        <v>33</v>
      </c>
      <c r="C25" s="89" t="s">
        <v>34</v>
      </c>
      <c r="D25" s="90" t="s">
        <v>93</v>
      </c>
      <c r="E25" s="100" t="s">
        <v>20</v>
      </c>
      <c r="F25" s="91">
        <v>55.12618294</v>
      </c>
      <c r="G25" s="91">
        <v>44.006421072666669</v>
      </c>
      <c r="H25" s="12">
        <f t="shared" si="0"/>
        <v>0.129711841499292</v>
      </c>
      <c r="I25" s="12">
        <f t="shared" si="1"/>
        <v>-0.19092512377645415</v>
      </c>
      <c r="J25" s="123" t="s">
        <v>22</v>
      </c>
      <c r="K25" s="174" t="s">
        <v>23</v>
      </c>
      <c r="L25" s="185" t="s">
        <v>229</v>
      </c>
      <c r="M25" s="169"/>
      <c r="N25" s="93">
        <v>48.419999988213831</v>
      </c>
      <c r="O25" s="94">
        <v>53.263999983194687</v>
      </c>
      <c r="P25" s="95">
        <v>1173242260.8866701</v>
      </c>
      <c r="Q25" s="95">
        <v>15729.4413218752</v>
      </c>
      <c r="R25" s="96" t="s">
        <v>94</v>
      </c>
      <c r="S25" s="89" t="s">
        <v>20</v>
      </c>
      <c r="T25" s="97">
        <v>51.509602039999997</v>
      </c>
      <c r="U25" s="97">
        <v>54.179899413999998</v>
      </c>
      <c r="V25" s="16">
        <f>LN(T25/AB25)</f>
        <v>-0.7495796446966837</v>
      </c>
      <c r="W25" s="16">
        <f>LN(U25/AC25)</f>
        <v>-0.04995735469726022</v>
      </c>
      <c r="X25" s="123" t="s">
        <v>22</v>
      </c>
      <c r="Y25" s="208" t="s">
        <v>95</v>
      </c>
      <c r="Z25" s="162" t="s">
        <v>229</v>
      </c>
      <c r="AA25" s="189"/>
      <c r="AB25" s="86">
        <v>109.00000001490235</v>
      </c>
      <c r="AC25" s="98">
        <v>56.955333329275163</v>
      </c>
      <c r="AD25" s="99">
        <v>1161894612.3958299</v>
      </c>
      <c r="AE25" s="99">
        <v>15269.1620783611</v>
      </c>
      <c r="AF25" s="100" t="s">
        <v>185</v>
      </c>
      <c r="AG25" s="92" t="s">
        <v>96</v>
      </c>
      <c r="AH25" s="101" t="s">
        <v>97</v>
      </c>
    </row>
    <row r="26" spans="1:34" s="18" customFormat="1" x14ac:dyDescent="0.2">
      <c r="A26" s="8" t="s">
        <v>215</v>
      </c>
      <c r="B26" s="19" t="s">
        <v>17</v>
      </c>
      <c r="C26" s="19" t="s">
        <v>18</v>
      </c>
      <c r="D26" s="11" t="s">
        <v>98</v>
      </c>
      <c r="E26" s="17" t="s">
        <v>20</v>
      </c>
      <c r="F26" s="12">
        <v>56.200157140000002</v>
      </c>
      <c r="G26" s="12">
        <v>64.052863704999993</v>
      </c>
      <c r="H26" s="12">
        <f t="shared" si="0"/>
        <v>1.0021732258361638</v>
      </c>
      <c r="I26" s="12">
        <f t="shared" si="1"/>
        <v>0.45514049873415846</v>
      </c>
      <c r="J26" s="13" t="s">
        <v>14</v>
      </c>
      <c r="K26" s="13"/>
      <c r="L26" s="185" t="s">
        <v>229</v>
      </c>
      <c r="M26" s="13"/>
      <c r="N26" s="68">
        <v>20.630000001275377</v>
      </c>
      <c r="O26" s="46">
        <v>40.632500003026536</v>
      </c>
      <c r="P26" s="79">
        <v>1152101287.4105899</v>
      </c>
      <c r="Q26" s="79">
        <v>15790.941415650201</v>
      </c>
      <c r="R26" s="15" t="s">
        <v>99</v>
      </c>
      <c r="S26" s="10" t="s">
        <v>20</v>
      </c>
      <c r="T26" s="16">
        <v>70.324756780000001</v>
      </c>
      <c r="U26" s="16">
        <v>67.520182812352942</v>
      </c>
      <c r="V26" s="16">
        <f>LN(T26/AB26)</f>
        <v>1.0918771837555015</v>
      </c>
      <c r="W26" s="16">
        <f>LN(U26/AC26)</f>
        <v>0.7892393999930937</v>
      </c>
      <c r="X26" s="19" t="s">
        <v>22</v>
      </c>
      <c r="Y26" s="102" t="s">
        <v>53</v>
      </c>
      <c r="Z26" s="162" t="s">
        <v>229</v>
      </c>
      <c r="AA26" s="189"/>
      <c r="AB26" s="86">
        <v>23.600000001624441</v>
      </c>
      <c r="AC26" s="48">
        <v>30.66699999793893</v>
      </c>
      <c r="AD26" s="82">
        <v>1115395380.4872899</v>
      </c>
      <c r="AE26" s="82">
        <v>14128.886124835601</v>
      </c>
      <c r="AF26" s="17" t="s">
        <v>185</v>
      </c>
      <c r="AG26" s="13" t="s">
        <v>100</v>
      </c>
      <c r="AH26" s="14" t="s">
        <v>101</v>
      </c>
    </row>
    <row r="27" spans="1:34" s="18" customFormat="1" x14ac:dyDescent="0.2">
      <c r="A27" s="8">
        <v>24</v>
      </c>
      <c r="B27" s="19" t="s">
        <v>17</v>
      </c>
      <c r="C27" s="19" t="s">
        <v>18</v>
      </c>
      <c r="D27" s="11" t="s">
        <v>102</v>
      </c>
      <c r="E27" s="17" t="s">
        <v>20</v>
      </c>
      <c r="F27" s="12">
        <v>58.48422832</v>
      </c>
      <c r="G27" s="12">
        <v>62.436892557363635</v>
      </c>
      <c r="H27" s="12">
        <f t="shared" si="0"/>
        <v>1.8604827037378486</v>
      </c>
      <c r="I27" s="12">
        <f t="shared" si="1"/>
        <v>2.426709627824757</v>
      </c>
      <c r="J27" s="13" t="s">
        <v>14</v>
      </c>
      <c r="K27" s="13"/>
      <c r="L27" s="185" t="s">
        <v>231</v>
      </c>
      <c r="M27" s="13"/>
      <c r="N27" s="68">
        <v>9.0999999932719593</v>
      </c>
      <c r="O27" s="46">
        <v>5.5148623860335233</v>
      </c>
      <c r="P27" s="79">
        <v>1141634273.41225</v>
      </c>
      <c r="Q27" s="79">
        <v>14593.0250856936</v>
      </c>
      <c r="R27" s="15" t="s">
        <v>103</v>
      </c>
      <c r="S27" s="10" t="s">
        <v>20</v>
      </c>
      <c r="T27" s="16">
        <v>65.621511339999998</v>
      </c>
      <c r="U27" s="16">
        <v>63.537957311374974</v>
      </c>
      <c r="V27" s="16">
        <f>LN(T27/AB27)</f>
        <v>2.7393402887837492</v>
      </c>
      <c r="W27" s="16">
        <f>LN(U27/AC27)</f>
        <v>2.6408311810845833</v>
      </c>
      <c r="X27" s="19" t="s">
        <v>22</v>
      </c>
      <c r="Y27" s="45" t="s">
        <v>104</v>
      </c>
      <c r="Z27" s="162" t="s">
        <v>231</v>
      </c>
      <c r="AA27" s="189"/>
      <c r="AB27" s="86">
        <v>4.2400000039761361</v>
      </c>
      <c r="AC27" s="48">
        <v>4.5303821654292395</v>
      </c>
      <c r="AD27" s="82">
        <v>1104594382.45701</v>
      </c>
      <c r="AE27" s="82">
        <v>14572.5869919005</v>
      </c>
      <c r="AF27" s="17" t="s">
        <v>185</v>
      </c>
      <c r="AG27" s="13" t="s">
        <v>100</v>
      </c>
      <c r="AH27" s="14" t="s">
        <v>105</v>
      </c>
    </row>
    <row r="28" spans="1:34" s="18" customFormat="1" x14ac:dyDescent="0.2">
      <c r="A28" s="8">
        <v>25</v>
      </c>
      <c r="B28" s="20" t="s">
        <v>33</v>
      </c>
      <c r="C28" s="10" t="s">
        <v>12</v>
      </c>
      <c r="D28" s="11" t="s">
        <v>106</v>
      </c>
      <c r="E28" s="74" t="s">
        <v>20</v>
      </c>
      <c r="F28" s="12">
        <v>41.401621730000002</v>
      </c>
      <c r="G28" s="12">
        <v>32.403629820555551</v>
      </c>
      <c r="H28" s="12">
        <f t="shared" si="0"/>
        <v>-2.2764102403506485</v>
      </c>
      <c r="I28" s="12">
        <f t="shared" si="1"/>
        <v>-2.6419126783379014</v>
      </c>
      <c r="J28" s="22" t="s">
        <v>14</v>
      </c>
      <c r="K28" s="22"/>
      <c r="L28" s="185" t="s">
        <v>229</v>
      </c>
      <c r="M28" s="13"/>
      <c r="N28" s="68">
        <v>403.32000044845677</v>
      </c>
      <c r="O28" s="46">
        <v>454.94799984267843</v>
      </c>
      <c r="P28" s="79">
        <v>1154731734.1382799</v>
      </c>
      <c r="Q28" s="79">
        <v>14213.6000546123</v>
      </c>
      <c r="R28" s="23" t="s">
        <v>107</v>
      </c>
      <c r="S28" s="24" t="s">
        <v>20</v>
      </c>
      <c r="T28" s="16">
        <v>32.992022550000002</v>
      </c>
      <c r="U28" s="16">
        <v>27.252593251384223</v>
      </c>
      <c r="V28" s="16">
        <f>LN(T28/AB28)</f>
        <v>-2.8776851989457994</v>
      </c>
      <c r="W28" s="16">
        <f>LN(U28/AC28)</f>
        <v>-2.6348559868328</v>
      </c>
      <c r="X28" s="24" t="s">
        <v>14</v>
      </c>
      <c r="Y28" s="24"/>
      <c r="Z28" s="162" t="s">
        <v>229</v>
      </c>
      <c r="AA28" s="189"/>
      <c r="AB28" s="86">
        <v>586.37000037141206</v>
      </c>
      <c r="AC28" s="48">
        <v>379.93670330746147</v>
      </c>
      <c r="AD28" s="82">
        <v>1245600645.9167099</v>
      </c>
      <c r="AE28" s="82">
        <v>16339.15942532</v>
      </c>
      <c r="AF28" s="17" t="s">
        <v>186</v>
      </c>
      <c r="AG28" s="13" t="s">
        <v>108</v>
      </c>
      <c r="AH28" s="14"/>
    </row>
    <row r="29" spans="1:34" s="18" customFormat="1" x14ac:dyDescent="0.2">
      <c r="A29" s="8">
        <v>26</v>
      </c>
      <c r="B29" s="20" t="s">
        <v>33</v>
      </c>
      <c r="C29" s="10" t="s">
        <v>34</v>
      </c>
      <c r="D29" s="11" t="s">
        <v>109</v>
      </c>
      <c r="E29" s="74" t="s">
        <v>20</v>
      </c>
      <c r="F29" s="12">
        <v>38.016314819999998</v>
      </c>
      <c r="G29" s="12">
        <v>34.53754543208052</v>
      </c>
      <c r="H29" s="12">
        <f t="shared" si="0"/>
        <v>-4.823510730249848</v>
      </c>
      <c r="I29" s="12">
        <f t="shared" si="1"/>
        <v>-3.097989824989127</v>
      </c>
      <c r="J29" s="19" t="s">
        <v>22</v>
      </c>
      <c r="K29" s="43" t="s">
        <v>23</v>
      </c>
      <c r="L29" s="185" t="s">
        <v>232</v>
      </c>
      <c r="M29" s="13"/>
      <c r="N29" s="68">
        <v>4729.2699984324208</v>
      </c>
      <c r="O29" s="46">
        <v>765.12317250772571</v>
      </c>
      <c r="P29" s="79">
        <v>1211838455.5174</v>
      </c>
      <c r="Q29" s="79">
        <v>16085.0145200354</v>
      </c>
      <c r="R29" s="23" t="s">
        <v>110</v>
      </c>
      <c r="S29" s="24" t="s">
        <v>20</v>
      </c>
      <c r="T29" s="16">
        <v>36.974460980000003</v>
      </c>
      <c r="U29" s="16">
        <v>32.650297077837834</v>
      </c>
      <c r="V29" s="16">
        <f>LN(T29/AB29)</f>
        <v>-4.743969070191732</v>
      </c>
      <c r="W29" s="16">
        <f>LN(U29/AC29)</f>
        <v>-4.044013221683304</v>
      </c>
      <c r="X29" s="19" t="s">
        <v>22</v>
      </c>
      <c r="Y29" s="102" t="s">
        <v>111</v>
      </c>
      <c r="Z29" s="162" t="s">
        <v>232</v>
      </c>
      <c r="AA29" s="189"/>
      <c r="AB29" s="86">
        <v>4247.9699998908764</v>
      </c>
      <c r="AC29" s="48">
        <v>1862.8580552863245</v>
      </c>
      <c r="AD29" s="82">
        <v>1177796155.25647</v>
      </c>
      <c r="AE29" s="82">
        <v>15299.136525067001</v>
      </c>
      <c r="AF29" s="17" t="s">
        <v>186</v>
      </c>
      <c r="AG29" s="13" t="s">
        <v>112</v>
      </c>
      <c r="AH29" s="14" t="s">
        <v>113</v>
      </c>
    </row>
    <row r="30" spans="1:34" s="18" customFormat="1" x14ac:dyDescent="0.2">
      <c r="A30" s="8">
        <v>27</v>
      </c>
      <c r="B30" s="20" t="s">
        <v>33</v>
      </c>
      <c r="C30" s="10" t="s">
        <v>12</v>
      </c>
      <c r="D30" s="21" t="s">
        <v>114</v>
      </c>
      <c r="E30" s="74" t="s">
        <v>20</v>
      </c>
      <c r="F30" s="12">
        <v>25.329944510000001</v>
      </c>
      <c r="G30" s="12">
        <v>27.327156512500004</v>
      </c>
      <c r="H30" s="12">
        <f t="shared" si="0"/>
        <v>-0.7017972235712719</v>
      </c>
      <c r="I30" s="12">
        <f t="shared" si="1"/>
        <v>-0.525585740386052</v>
      </c>
      <c r="J30" s="22" t="s">
        <v>14</v>
      </c>
      <c r="K30" s="22"/>
      <c r="L30" s="185" t="s">
        <v>229</v>
      </c>
      <c r="M30" s="13"/>
      <c r="N30" s="68">
        <v>51.099999984149434</v>
      </c>
      <c r="O30" s="46">
        <v>46.222499984848938</v>
      </c>
      <c r="P30" s="79">
        <v>1102982884.63237</v>
      </c>
      <c r="Q30" s="79">
        <v>14693.462212467401</v>
      </c>
      <c r="R30" s="23" t="s">
        <v>115</v>
      </c>
      <c r="S30" s="24" t="s">
        <v>20</v>
      </c>
      <c r="T30" s="16">
        <v>32.046508209999999</v>
      </c>
      <c r="U30" s="16">
        <v>30.799338644999999</v>
      </c>
      <c r="V30" s="16">
        <f>LN(T30/AB30)</f>
        <v>-0.49742722583244675</v>
      </c>
      <c r="W30" s="16">
        <f>LN(U30/AC30)</f>
        <v>-0.46636581771959573</v>
      </c>
      <c r="X30" s="24" t="s">
        <v>14</v>
      </c>
      <c r="Y30" s="24"/>
      <c r="Z30" s="162" t="s">
        <v>229</v>
      </c>
      <c r="AA30" s="189"/>
      <c r="AB30" s="86">
        <v>52.699999974208303</v>
      </c>
      <c r="AC30" s="48">
        <v>49.100000005065922</v>
      </c>
      <c r="AD30" s="82">
        <v>1121977045.1545</v>
      </c>
      <c r="AE30" s="82">
        <v>16270.382051933801</v>
      </c>
      <c r="AF30" s="17" t="s">
        <v>187</v>
      </c>
      <c r="AG30" s="13" t="s">
        <v>116</v>
      </c>
      <c r="AH30" s="14" t="s">
        <v>117</v>
      </c>
    </row>
    <row r="31" spans="1:34" s="18" customFormat="1" x14ac:dyDescent="0.2">
      <c r="A31" s="104">
        <v>28</v>
      </c>
      <c r="B31" s="105" t="s">
        <v>33</v>
      </c>
      <c r="C31" s="106" t="s">
        <v>12</v>
      </c>
      <c r="D31" s="124" t="s">
        <v>118</v>
      </c>
      <c r="E31" s="108" t="s">
        <v>20</v>
      </c>
      <c r="F31" s="109">
        <v>38.812413169999999</v>
      </c>
      <c r="G31" s="109">
        <v>38.003943886666669</v>
      </c>
      <c r="H31" s="12">
        <f t="shared" si="0"/>
        <v>-0.3485930615690987</v>
      </c>
      <c r="I31" s="12">
        <f t="shared" si="1"/>
        <v>-0.4605913061345582</v>
      </c>
      <c r="J31" s="125" t="s">
        <v>14</v>
      </c>
      <c r="K31" s="166"/>
      <c r="L31" s="185" t="s">
        <v>229</v>
      </c>
      <c r="M31" s="169"/>
      <c r="N31" s="112">
        <v>54.999999937407871</v>
      </c>
      <c r="O31" s="113">
        <v>60.236666619969021</v>
      </c>
      <c r="P31" s="114">
        <v>1101198106.05212</v>
      </c>
      <c r="Q31" s="114">
        <v>14522.656300122</v>
      </c>
      <c r="R31" s="126" t="s">
        <v>119</v>
      </c>
      <c r="S31" s="116" t="s">
        <v>20</v>
      </c>
      <c r="T31" s="117">
        <v>34.455690359999998</v>
      </c>
      <c r="U31" s="117">
        <v>37.089448389250002</v>
      </c>
      <c r="V31" s="16">
        <f>LN(T31/AB31)</f>
        <v>-1.196524286441859</v>
      </c>
      <c r="W31" s="16">
        <f>LN(U31/AC31)</f>
        <v>-0.9175908387416668</v>
      </c>
      <c r="X31" s="193" t="s">
        <v>14</v>
      </c>
      <c r="Y31" s="193"/>
      <c r="Z31" s="162" t="s">
        <v>229</v>
      </c>
      <c r="AA31" s="189"/>
      <c r="AB31" s="86">
        <v>113.9999999116778</v>
      </c>
      <c r="AC31" s="118">
        <v>92.844249987846567</v>
      </c>
      <c r="AD31" s="119">
        <v>1109183747.2513199</v>
      </c>
      <c r="AE31" s="119">
        <v>15791.063124848</v>
      </c>
      <c r="AF31" s="120" t="s">
        <v>187</v>
      </c>
      <c r="AG31" s="111" t="s">
        <v>120</v>
      </c>
      <c r="AH31" s="121" t="s">
        <v>121</v>
      </c>
    </row>
    <row r="32" spans="1:34" s="18" customFormat="1" x14ac:dyDescent="0.2">
      <c r="A32" s="88">
        <v>29</v>
      </c>
      <c r="B32" s="122" t="s">
        <v>33</v>
      </c>
      <c r="C32" s="89" t="s">
        <v>12</v>
      </c>
      <c r="D32" s="127" t="s">
        <v>122</v>
      </c>
      <c r="E32" s="128" t="s">
        <v>20</v>
      </c>
      <c r="F32" s="91">
        <v>21.665198849999999</v>
      </c>
      <c r="G32" s="91">
        <v>18.314243875254231</v>
      </c>
      <c r="H32" s="12">
        <f t="shared" si="0"/>
        <v>-4.695604444669043</v>
      </c>
      <c r="I32" s="12">
        <f t="shared" si="1"/>
        <v>-3.92419678168596</v>
      </c>
      <c r="J32" s="129" t="s">
        <v>14</v>
      </c>
      <c r="K32" s="170"/>
      <c r="L32" s="186" t="s">
        <v>229</v>
      </c>
      <c r="M32" s="171"/>
      <c r="N32" s="93">
        <v>2371.5799989204465</v>
      </c>
      <c r="O32" s="94">
        <v>926.92799996813983</v>
      </c>
      <c r="P32" s="95">
        <v>1121184390.2305801</v>
      </c>
      <c r="Q32" s="95">
        <v>14639.391298677499</v>
      </c>
      <c r="R32" s="130" t="s">
        <v>123</v>
      </c>
      <c r="S32" s="131" t="s">
        <v>20</v>
      </c>
      <c r="T32" s="97">
        <v>20.54886947</v>
      </c>
      <c r="U32" s="97">
        <v>20.641531104999999</v>
      </c>
      <c r="V32" s="16">
        <f>LN(T32/AB32)</f>
        <v>-5.271243713543233</v>
      </c>
      <c r="W32" s="16">
        <f>LN(U32/AC32)</f>
        <v>-5.234172257476765</v>
      </c>
      <c r="X32" s="199" t="s">
        <v>14</v>
      </c>
      <c r="Y32" s="199"/>
      <c r="Z32" s="200" t="s">
        <v>229</v>
      </c>
      <c r="AA32" s="201"/>
      <c r="AB32" s="202">
        <v>3999.9999969793548</v>
      </c>
      <c r="AC32" s="98">
        <v>3871.8099993730311</v>
      </c>
      <c r="AD32" s="99">
        <v>1102479368.81042</v>
      </c>
      <c r="AE32" s="99">
        <v>15890.143749085601</v>
      </c>
      <c r="AF32" s="100" t="s">
        <v>187</v>
      </c>
      <c r="AG32" s="92" t="s">
        <v>124</v>
      </c>
      <c r="AH32" s="101"/>
    </row>
    <row r="33" spans="1:34" s="18" customFormat="1" x14ac:dyDescent="0.2">
      <c r="A33" s="8">
        <v>30</v>
      </c>
      <c r="B33" s="19" t="s">
        <v>17</v>
      </c>
      <c r="C33" s="19" t="s">
        <v>18</v>
      </c>
      <c r="D33" s="11" t="s">
        <v>125</v>
      </c>
      <c r="E33" s="74" t="s">
        <v>20</v>
      </c>
      <c r="F33" s="12">
        <v>42.409350869999997</v>
      </c>
      <c r="G33" s="12">
        <v>28.933694254705888</v>
      </c>
      <c r="H33" s="12">
        <f t="shared" si="0"/>
        <v>-0.8199955946201657</v>
      </c>
      <c r="I33" s="12">
        <f t="shared" si="1"/>
        <v>-1.5328593312033776</v>
      </c>
      <c r="J33" s="22" t="s">
        <v>14</v>
      </c>
      <c r="K33" s="166"/>
      <c r="L33" s="183" t="s">
        <v>229</v>
      </c>
      <c r="M33" s="167"/>
      <c r="N33" s="68">
        <v>96.290000065230885</v>
      </c>
      <c r="O33" s="46">
        <v>134.00352939393434</v>
      </c>
      <c r="P33" s="79">
        <v>1146510011.74174</v>
      </c>
      <c r="Q33" s="79">
        <v>16099.8940049423</v>
      </c>
      <c r="R33" s="15" t="s">
        <v>126</v>
      </c>
      <c r="S33" s="24" t="s">
        <v>20</v>
      </c>
      <c r="T33" s="16">
        <v>40.104351430000001</v>
      </c>
      <c r="U33" s="16">
        <v>33.095598666923074</v>
      </c>
      <c r="V33" s="16">
        <f>LN(T33/AB33)</f>
        <v>-0.055663520286584924</v>
      </c>
      <c r="W33" s="16">
        <f>LN(U33/AC33)</f>
        <v>-0.07455380760019084</v>
      </c>
      <c r="X33" s="203" t="s">
        <v>22</v>
      </c>
      <c r="Y33" s="196" t="s">
        <v>56</v>
      </c>
      <c r="Z33" s="162" t="s">
        <v>229</v>
      </c>
      <c r="AA33" s="190"/>
      <c r="AB33" s="86">
        <v>42.400000039761373</v>
      </c>
      <c r="AC33" s="48">
        <v>35.657307697429765</v>
      </c>
      <c r="AD33" s="82">
        <v>1082966621.8972299</v>
      </c>
      <c r="AE33" s="82">
        <v>14449.2059778231</v>
      </c>
      <c r="AF33" s="17" t="s">
        <v>187</v>
      </c>
      <c r="AG33" s="13" t="s">
        <v>127</v>
      </c>
      <c r="AH33" s="14"/>
    </row>
    <row r="34" spans="1:34" s="18" customFormat="1" x14ac:dyDescent="0.2">
      <c r="A34" s="8">
        <v>31</v>
      </c>
      <c r="B34" s="20" t="s">
        <v>33</v>
      </c>
      <c r="C34" s="10" t="s">
        <v>12</v>
      </c>
      <c r="D34" s="11" t="s">
        <v>177</v>
      </c>
      <c r="E34" s="74" t="s">
        <v>20</v>
      </c>
      <c r="F34" s="12">
        <v>16.289022079999999</v>
      </c>
      <c r="G34" s="12">
        <v>21.259630229457397</v>
      </c>
      <c r="H34" s="12">
        <f t="shared" si="0"/>
        <v>-0.4501459266752727</v>
      </c>
      <c r="I34" s="12">
        <f t="shared" si="1"/>
        <v>-1.3393114250682738</v>
      </c>
      <c r="J34" s="22" t="s">
        <v>14</v>
      </c>
      <c r="K34" s="166"/>
      <c r="L34" s="183" t="s">
        <v>230</v>
      </c>
      <c r="M34" s="167"/>
      <c r="N34" s="68">
        <v>25.549999972306377</v>
      </c>
      <c r="O34" s="46">
        <v>81.135565598717392</v>
      </c>
      <c r="P34" s="79">
        <v>1168452230.3999701</v>
      </c>
      <c r="Q34" s="79">
        <v>14405.0486215031</v>
      </c>
      <c r="R34" s="23" t="s">
        <v>128</v>
      </c>
      <c r="S34" s="24" t="s">
        <v>20</v>
      </c>
      <c r="T34" s="16">
        <v>19.638930760000001</v>
      </c>
      <c r="U34" s="16">
        <v>22.459104802352943</v>
      </c>
      <c r="V34" s="16">
        <f>LN(T34/AB34)</f>
        <v>-0.8683693432638151</v>
      </c>
      <c r="W34" s="16">
        <f>LN(U34/AC34)</f>
        <v>-0.1991045104419659</v>
      </c>
      <c r="X34" s="193" t="s">
        <v>14</v>
      </c>
      <c r="Y34" s="193"/>
      <c r="Z34" s="162" t="s">
        <v>230</v>
      </c>
      <c r="AA34" s="190"/>
      <c r="AB34" s="86">
        <v>46.799999992012332</v>
      </c>
      <c r="AC34" s="48">
        <v>27.407058824246327</v>
      </c>
      <c r="AD34" s="82">
        <v>1139499084.3313301</v>
      </c>
      <c r="AE34" s="82">
        <v>15828.700782477599</v>
      </c>
      <c r="AF34" s="17" t="s">
        <v>187</v>
      </c>
      <c r="AG34" s="13" t="s">
        <v>129</v>
      </c>
      <c r="AH34" s="14"/>
    </row>
    <row r="35" spans="1:34" s="18" customFormat="1" x14ac:dyDescent="0.2">
      <c r="A35" s="8">
        <v>32</v>
      </c>
      <c r="B35" s="20" t="s">
        <v>33</v>
      </c>
      <c r="C35" s="10" t="s">
        <v>12</v>
      </c>
      <c r="D35" s="11" t="s">
        <v>130</v>
      </c>
      <c r="E35" s="74" t="s">
        <v>20</v>
      </c>
      <c r="F35" s="12">
        <v>10.6789811</v>
      </c>
      <c r="G35" s="12">
        <v>10.6789811</v>
      </c>
      <c r="H35" s="12">
        <f t="shared" si="0"/>
        <v>-4.875950089985029</v>
      </c>
      <c r="I35" s="12">
        <f t="shared" si="1"/>
        <v>-4.875950089985029</v>
      </c>
      <c r="J35" s="22" t="s">
        <v>14</v>
      </c>
      <c r="K35" s="166"/>
      <c r="L35" s="183" t="s">
        <v>227</v>
      </c>
      <c r="M35" s="167"/>
      <c r="N35" s="68">
        <v>1400.0000010372382</v>
      </c>
      <c r="O35" s="46">
        <v>1400.0000010372382</v>
      </c>
      <c r="P35" s="79">
        <v>1161341873.44103</v>
      </c>
      <c r="Q35" s="79">
        <v>15133.446081604699</v>
      </c>
      <c r="R35" s="23" t="s">
        <v>131</v>
      </c>
      <c r="S35" s="24" t="s">
        <v>20</v>
      </c>
      <c r="T35" s="16">
        <v>10.686582570000001</v>
      </c>
      <c r="U35" s="16">
        <v>10.686582570000001</v>
      </c>
      <c r="V35" s="16">
        <f>LN(T35/AB35)</f>
        <v>-4.799590907020045</v>
      </c>
      <c r="W35" s="16">
        <f>LN(U35/AC35)</f>
        <v>-4.799590907020045</v>
      </c>
      <c r="X35" s="193" t="s">
        <v>14</v>
      </c>
      <c r="Y35" s="193"/>
      <c r="Z35" s="162" t="s">
        <v>227</v>
      </c>
      <c r="AA35" s="190"/>
      <c r="AB35" s="86">
        <v>1297.9999986121711</v>
      </c>
      <c r="AC35" s="48">
        <v>1297.9999986121711</v>
      </c>
      <c r="AD35" s="82">
        <v>1164886917.7786801</v>
      </c>
      <c r="AE35" s="82">
        <v>15841.9070414419</v>
      </c>
      <c r="AF35" s="17" t="s">
        <v>188</v>
      </c>
      <c r="AG35" s="13" t="s">
        <v>132</v>
      </c>
      <c r="AH35" s="14" t="s">
        <v>133</v>
      </c>
    </row>
    <row r="36" spans="1:34" s="18" customFormat="1" x14ac:dyDescent="0.2">
      <c r="A36" s="8" t="s">
        <v>216</v>
      </c>
      <c r="B36" s="19" t="s">
        <v>17</v>
      </c>
      <c r="C36" s="19" t="s">
        <v>18</v>
      </c>
      <c r="D36" s="21" t="s">
        <v>134</v>
      </c>
      <c r="E36" s="74" t="s">
        <v>20</v>
      </c>
      <c r="F36" s="12">
        <v>18.919017530000001</v>
      </c>
      <c r="G36" s="12">
        <v>19.119666978749997</v>
      </c>
      <c r="H36" s="12">
        <f t="shared" si="0"/>
        <v>-3.495309430902865</v>
      </c>
      <c r="I36" s="12">
        <f t="shared" si="1"/>
        <v>-2.9893879715015097</v>
      </c>
      <c r="J36" s="22" t="s">
        <v>14</v>
      </c>
      <c r="K36" s="166"/>
      <c r="L36" s="183" t="s">
        <v>229</v>
      </c>
      <c r="M36" s="167"/>
      <c r="N36" s="68">
        <v>623.58000047396831</v>
      </c>
      <c r="O36" s="46">
        <v>379.97500017522975</v>
      </c>
      <c r="P36" s="79">
        <v>1169964629.2257299</v>
      </c>
      <c r="Q36" s="79">
        <v>15649.2477742551</v>
      </c>
      <c r="R36" s="23" t="s">
        <v>135</v>
      </c>
      <c r="S36" s="24" t="s">
        <v>20</v>
      </c>
      <c r="T36" s="16">
        <v>55.422399259999999</v>
      </c>
      <c r="U36" s="16">
        <v>46.4742153322807</v>
      </c>
      <c r="V36" s="16">
        <f>LN(T36/AB36)</f>
        <v>-2.6182688100589777</v>
      </c>
      <c r="W36" s="16">
        <f>LN(U36/AC36)</f>
        <v>-2.137000383181557</v>
      </c>
      <c r="X36" s="203" t="s">
        <v>22</v>
      </c>
      <c r="Y36" s="197" t="s">
        <v>111</v>
      </c>
      <c r="Z36" s="162" t="s">
        <v>228</v>
      </c>
      <c r="AA36" s="190"/>
      <c r="AB36" s="86">
        <v>759.94999941293793</v>
      </c>
      <c r="AC36" s="48">
        <v>393.82160713452311</v>
      </c>
      <c r="AD36" s="82">
        <v>1164244529.0397999</v>
      </c>
      <c r="AE36" s="82">
        <v>15111.1199700211</v>
      </c>
      <c r="AF36" s="17" t="s">
        <v>188</v>
      </c>
      <c r="AG36" s="13" t="s">
        <v>136</v>
      </c>
      <c r="AH36" s="14" t="s">
        <v>137</v>
      </c>
    </row>
    <row r="37" spans="1:34" s="18" customFormat="1" x14ac:dyDescent="0.2">
      <c r="A37" s="8">
        <v>34</v>
      </c>
      <c r="B37" s="19" t="s">
        <v>17</v>
      </c>
      <c r="C37" s="19" t="s">
        <v>18</v>
      </c>
      <c r="D37" s="21" t="s">
        <v>138</v>
      </c>
      <c r="E37" s="74" t="s">
        <v>20</v>
      </c>
      <c r="F37" s="12">
        <v>34.48747281</v>
      </c>
      <c r="G37" s="12">
        <v>29.941332736666666</v>
      </c>
      <c r="H37" s="12">
        <f t="shared" si="0"/>
        <v>-3.2197837761679504</v>
      </c>
      <c r="I37" s="12">
        <f t="shared" si="1"/>
        <v>-3.5161627383756384</v>
      </c>
      <c r="J37" s="22" t="s">
        <v>14</v>
      </c>
      <c r="K37" s="166"/>
      <c r="L37" s="183" t="s">
        <v>228</v>
      </c>
      <c r="M37" s="167"/>
      <c r="N37" s="68">
        <v>862.96999938452666</v>
      </c>
      <c r="O37" s="46">
        <v>1007.6766666469121</v>
      </c>
      <c r="P37" s="79">
        <v>1076982615.9507599</v>
      </c>
      <c r="Q37" s="79">
        <v>15176.527237910501</v>
      </c>
      <c r="R37" s="23" t="s">
        <v>139</v>
      </c>
      <c r="S37" s="24" t="s">
        <v>20</v>
      </c>
      <c r="T37" s="16">
        <v>50.820552210000002</v>
      </c>
      <c r="U37" s="16">
        <v>40.531540337100289</v>
      </c>
      <c r="V37" s="16">
        <f>LN(T37/AB37)</f>
        <v>0.5613499017144695</v>
      </c>
      <c r="W37" s="16">
        <f>LN(U37/AC37)</f>
        <v>-3.21332218517802</v>
      </c>
      <c r="X37" s="203" t="s">
        <v>22</v>
      </c>
      <c r="Y37" s="196" t="s">
        <v>140</v>
      </c>
      <c r="Z37" s="162" t="s">
        <v>228</v>
      </c>
      <c r="AA37" s="190"/>
      <c r="AB37" s="86">
        <v>28.989999976303245</v>
      </c>
      <c r="AC37" s="48">
        <v>1007.6766666469121</v>
      </c>
      <c r="AD37" s="82">
        <v>1101580076.9507201</v>
      </c>
      <c r="AE37" s="82">
        <v>13769.309358181799</v>
      </c>
      <c r="AF37" s="17" t="s">
        <v>188</v>
      </c>
      <c r="AG37" s="13" t="s">
        <v>141</v>
      </c>
      <c r="AH37" s="14"/>
    </row>
    <row r="38" spans="1:34" s="18" customFormat="1" x14ac:dyDescent="0.2">
      <c r="A38" s="104">
        <v>35</v>
      </c>
      <c r="B38" s="105" t="s">
        <v>33</v>
      </c>
      <c r="C38" s="106" t="s">
        <v>12</v>
      </c>
      <c r="D38" s="124" t="s">
        <v>142</v>
      </c>
      <c r="E38" s="108" t="s">
        <v>20</v>
      </c>
      <c r="F38" s="109">
        <v>15.69798372</v>
      </c>
      <c r="G38" s="109">
        <v>18.463281178235292</v>
      </c>
      <c r="H38" s="12">
        <f t="shared" si="0"/>
        <v>-0.06187644045358925</v>
      </c>
      <c r="I38" s="12">
        <f t="shared" si="1"/>
        <v>0.19741220869198142</v>
      </c>
      <c r="J38" s="125" t="s">
        <v>14</v>
      </c>
      <c r="K38" s="172"/>
      <c r="L38" s="187" t="s">
        <v>228</v>
      </c>
      <c r="M38" s="173"/>
      <c r="N38" s="112">
        <v>16.699999994324962</v>
      </c>
      <c r="O38" s="113">
        <v>15.155624995660526</v>
      </c>
      <c r="P38" s="114">
        <v>1194692095.1575201</v>
      </c>
      <c r="Q38" s="114">
        <v>15141.628628314</v>
      </c>
      <c r="R38" s="126" t="s">
        <v>143</v>
      </c>
      <c r="S38" s="116" t="s">
        <v>20</v>
      </c>
      <c r="T38" s="117">
        <v>18.391934790000001</v>
      </c>
      <c r="U38" s="117">
        <v>19.288713850000001</v>
      </c>
      <c r="V38" s="16">
        <f>LN(T38/AB38)</f>
        <v>0.7908490246865134</v>
      </c>
      <c r="W38" s="16">
        <f>LN(U38/AC38)</f>
        <v>0.7380246091701786</v>
      </c>
      <c r="X38" s="204" t="s">
        <v>14</v>
      </c>
      <c r="Y38" s="204"/>
      <c r="Z38" s="205" t="s">
        <v>228</v>
      </c>
      <c r="AA38" s="206"/>
      <c r="AB38" s="207">
        <v>8.3400000069567088</v>
      </c>
      <c r="AC38" s="118">
        <v>9.2211111093385014</v>
      </c>
      <c r="AD38" s="119">
        <v>1068315062.53522</v>
      </c>
      <c r="AE38" s="119">
        <v>15067.1071498284</v>
      </c>
      <c r="AF38" s="120" t="s">
        <v>188</v>
      </c>
      <c r="AG38" s="111" t="s">
        <v>144</v>
      </c>
      <c r="AH38" s="121" t="s">
        <v>145</v>
      </c>
    </row>
    <row r="39" spans="1:34" s="18" customFormat="1" x14ac:dyDescent="0.2">
      <c r="A39" s="8">
        <v>36</v>
      </c>
      <c r="B39" s="9" t="s">
        <v>242</v>
      </c>
      <c r="C39" s="10" t="s">
        <v>12</v>
      </c>
      <c r="D39" s="21" t="s">
        <v>146</v>
      </c>
      <c r="E39" s="72" t="s">
        <v>241</v>
      </c>
      <c r="F39" s="12">
        <v>15.48005436</v>
      </c>
      <c r="G39" s="12">
        <v>9.5388757768421026</v>
      </c>
      <c r="H39" s="12">
        <f t="shared" si="0"/>
        <v>-0.1396460768034627</v>
      </c>
      <c r="I39" s="12">
        <f t="shared" si="1"/>
        <v>-1.182008107069201</v>
      </c>
      <c r="J39" s="22" t="s">
        <v>14</v>
      </c>
      <c r="K39" s="22"/>
      <c r="L39" s="185" t="s">
        <v>235</v>
      </c>
      <c r="M39" s="22"/>
      <c r="N39" s="68">
        <v>17.799999987339671</v>
      </c>
      <c r="O39" s="46">
        <v>31.105471695972899</v>
      </c>
      <c r="P39" s="79">
        <v>1066557705.37684</v>
      </c>
      <c r="Q39" s="79">
        <v>15710.9008867053</v>
      </c>
      <c r="R39" s="23" t="s">
        <v>147</v>
      </c>
      <c r="S39" s="24" t="s">
        <v>20</v>
      </c>
      <c r="T39" s="16">
        <v>18.454634299999999</v>
      </c>
      <c r="U39" s="16">
        <v>16.1539033503125</v>
      </c>
      <c r="V39" s="16">
        <f>LN(T39/AB39)</f>
        <v>-0.5962299182286396</v>
      </c>
      <c r="W39" s="16">
        <f>LN(U39/AC39)</f>
        <v>-0.7105715379644371</v>
      </c>
      <c r="X39" s="24" t="s">
        <v>14</v>
      </c>
      <c r="Y39" s="24"/>
      <c r="Z39" s="162" t="s">
        <v>229</v>
      </c>
      <c r="AA39" s="190"/>
      <c r="AB39" s="86">
        <v>33.4999999971579</v>
      </c>
      <c r="AC39" s="48">
        <v>32.875682539747501</v>
      </c>
      <c r="AD39" s="82">
        <v>1052497871.4555</v>
      </c>
      <c r="AE39" s="82">
        <v>15850.936467269201</v>
      </c>
      <c r="AF39" s="17" t="s">
        <v>188</v>
      </c>
      <c r="AG39" s="13" t="s">
        <v>148</v>
      </c>
      <c r="AH39" s="14"/>
    </row>
    <row r="40" spans="1:34" s="18" customFormat="1" x14ac:dyDescent="0.2">
      <c r="A40" s="8">
        <v>37</v>
      </c>
      <c r="B40" s="20" t="s">
        <v>33</v>
      </c>
      <c r="C40" s="10" t="s">
        <v>12</v>
      </c>
      <c r="D40" s="11" t="s">
        <v>149</v>
      </c>
      <c r="E40" s="72" t="s">
        <v>241</v>
      </c>
      <c r="F40" s="12">
        <v>6.0273972599999999</v>
      </c>
      <c r="G40" s="12">
        <v>8.3260956299999993</v>
      </c>
      <c r="H40" s="12">
        <f t="shared" si="0"/>
        <v>-1.9449193988197548</v>
      </c>
      <c r="I40" s="12">
        <f t="shared" si="1"/>
        <v>-1.37938307588527</v>
      </c>
      <c r="J40" s="13" t="s">
        <v>14</v>
      </c>
      <c r="K40" s="13"/>
      <c r="L40" s="185" t="s">
        <v>235</v>
      </c>
      <c r="M40" s="13"/>
      <c r="N40" s="68">
        <v>42.150000003808309</v>
      </c>
      <c r="O40" s="46">
        <v>33.075000009872774</v>
      </c>
      <c r="P40" s="79">
        <v>1064545541.59391</v>
      </c>
      <c r="Q40" s="79">
        <v>16939.7574130502</v>
      </c>
      <c r="R40" s="15" t="s">
        <v>150</v>
      </c>
      <c r="S40" s="72" t="s">
        <v>241</v>
      </c>
      <c r="T40" s="16">
        <v>1.970630487</v>
      </c>
      <c r="U40" s="16">
        <v>2.6087220905000001</v>
      </c>
      <c r="V40" s="16">
        <f>LN(T40/AB40)</f>
        <v>-6.201639926113462</v>
      </c>
      <c r="W40" s="16">
        <f>LN(U40/AC40)</f>
        <v>-5.897927766295731</v>
      </c>
      <c r="X40" s="10" t="s">
        <v>14</v>
      </c>
      <c r="Y40" s="24"/>
      <c r="Z40" s="162" t="s">
        <v>235</v>
      </c>
      <c r="AA40" s="189"/>
      <c r="AB40" s="86">
        <v>972.62000060897537</v>
      </c>
      <c r="AC40" s="48">
        <v>950.31000007065586</v>
      </c>
      <c r="AD40" s="82">
        <v>1053652877.6775</v>
      </c>
      <c r="AE40" s="82">
        <v>15812.877962091499</v>
      </c>
      <c r="AF40" s="17" t="s">
        <v>188</v>
      </c>
      <c r="AG40" s="13" t="s">
        <v>151</v>
      </c>
      <c r="AH40" s="14"/>
    </row>
    <row r="41" spans="1:34" s="18" customFormat="1" x14ac:dyDescent="0.2">
      <c r="A41" s="8">
        <v>38</v>
      </c>
      <c r="B41" s="9" t="s">
        <v>242</v>
      </c>
      <c r="C41" s="10" t="s">
        <v>12</v>
      </c>
      <c r="D41" s="21" t="s">
        <v>152</v>
      </c>
      <c r="E41" s="72" t="s">
        <v>241</v>
      </c>
      <c r="F41" s="12">
        <v>11.151011159999999</v>
      </c>
      <c r="G41" s="12">
        <v>10.541642863333333</v>
      </c>
      <c r="H41" s="12">
        <f t="shared" si="0"/>
        <v>-2.598504932860805</v>
      </c>
      <c r="I41" s="12">
        <f t="shared" si="1"/>
        <v>-2.1296633946470758</v>
      </c>
      <c r="J41" s="22" t="s">
        <v>14</v>
      </c>
      <c r="K41" s="22"/>
      <c r="L41" s="185" t="s">
        <v>235</v>
      </c>
      <c r="M41" s="22"/>
      <c r="N41" s="68">
        <v>149.90999994399482</v>
      </c>
      <c r="O41" s="46">
        <v>88.676666603822866</v>
      </c>
      <c r="P41" s="79">
        <v>1033933681.63682</v>
      </c>
      <c r="Q41" s="79">
        <v>15831.36356482</v>
      </c>
      <c r="R41" s="23" t="s">
        <v>153</v>
      </c>
      <c r="S41" s="24" t="s">
        <v>20</v>
      </c>
      <c r="T41" s="16">
        <v>11.73243956</v>
      </c>
      <c r="U41" s="16">
        <v>10.772145351000001</v>
      </c>
      <c r="V41" s="16">
        <f>LN(T41/AB41)</f>
        <v>-1.594631157539099</v>
      </c>
      <c r="W41" s="16">
        <f>LN(U41/AC41)</f>
        <v>-1.6125757797009728</v>
      </c>
      <c r="X41" s="24" t="s">
        <v>14</v>
      </c>
      <c r="Y41" s="24"/>
      <c r="Z41" s="162" t="s">
        <v>229</v>
      </c>
      <c r="AA41" s="190"/>
      <c r="AB41" s="86">
        <v>57.799999944032052</v>
      </c>
      <c r="AC41" s="48">
        <v>54.030000006059637</v>
      </c>
      <c r="AD41" s="82">
        <v>1050341548.12155</v>
      </c>
      <c r="AE41" s="82">
        <v>16018.328104341501</v>
      </c>
      <c r="AF41" s="17" t="s">
        <v>188</v>
      </c>
      <c r="AG41" s="13" t="s">
        <v>154</v>
      </c>
      <c r="AH41" s="14"/>
    </row>
    <row r="42" spans="1:34" s="18" customFormat="1" x14ac:dyDescent="0.2">
      <c r="A42" s="8">
        <v>39</v>
      </c>
      <c r="B42" s="19" t="s">
        <v>17</v>
      </c>
      <c r="C42" s="19" t="s">
        <v>18</v>
      </c>
      <c r="D42" s="21" t="s">
        <v>155</v>
      </c>
      <c r="E42" s="74" t="s">
        <v>20</v>
      </c>
      <c r="F42" s="12">
        <v>16.480800760000001</v>
      </c>
      <c r="G42" s="12">
        <v>12.782257312216213</v>
      </c>
      <c r="H42" s="12">
        <f t="shared" si="0"/>
        <v>-1.543166537437877</v>
      </c>
      <c r="I42" s="12">
        <f t="shared" si="1"/>
        <v>-2.4059935339290663</v>
      </c>
      <c r="J42" s="22" t="s">
        <v>14</v>
      </c>
      <c r="K42" s="22"/>
      <c r="L42" s="185" t="s">
        <v>229</v>
      </c>
      <c r="M42" s="22"/>
      <c r="N42" s="68">
        <v>77.120000018685502</v>
      </c>
      <c r="O42" s="46">
        <v>141.74810809983273</v>
      </c>
      <c r="P42" s="79">
        <v>1047053180.25054</v>
      </c>
      <c r="Q42" s="79">
        <v>15338.030147372199</v>
      </c>
      <c r="R42" s="23" t="s">
        <v>156</v>
      </c>
      <c r="S42" s="24" t="s">
        <v>20</v>
      </c>
      <c r="T42" s="16">
        <v>35.216607809999999</v>
      </c>
      <c r="U42" s="16">
        <v>32.01619107380953</v>
      </c>
      <c r="V42" s="16">
        <f>LN(T42/AB42)</f>
        <v>-2.544970438751351</v>
      </c>
      <c r="W42" s="16">
        <f>LN(U42/AC42)</f>
        <v>-2.5157077610391823</v>
      </c>
      <c r="X42" s="19" t="s">
        <v>22</v>
      </c>
      <c r="Y42" s="44" t="s">
        <v>23</v>
      </c>
      <c r="Z42" s="162" t="s">
        <v>229</v>
      </c>
      <c r="AA42" s="190"/>
      <c r="AB42" s="86">
        <v>448.75999963833306</v>
      </c>
      <c r="AC42" s="48">
        <v>396.21203383492463</v>
      </c>
      <c r="AD42" s="82">
        <v>1081915449.9195199</v>
      </c>
      <c r="AE42" s="82">
        <v>14548.453900246899</v>
      </c>
      <c r="AF42" s="17" t="s">
        <v>188</v>
      </c>
      <c r="AG42" s="13" t="s">
        <v>157</v>
      </c>
      <c r="AH42" s="14" t="s">
        <v>158</v>
      </c>
    </row>
    <row r="43" spans="1:34" s="18" customFormat="1" x14ac:dyDescent="0.2">
      <c r="A43" s="8">
        <v>40</v>
      </c>
      <c r="B43" s="19" t="s">
        <v>17</v>
      </c>
      <c r="C43" s="19" t="s">
        <v>18</v>
      </c>
      <c r="D43" s="11" t="s">
        <v>159</v>
      </c>
      <c r="E43" s="74" t="s">
        <v>20</v>
      </c>
      <c r="F43" s="12">
        <v>21.811326770000001</v>
      </c>
      <c r="G43" s="12">
        <v>21.811326770000001</v>
      </c>
      <c r="H43" s="12">
        <f t="shared" si="0"/>
        <v>0.4563125932157479</v>
      </c>
      <c r="I43" s="12">
        <f t="shared" si="1"/>
        <v>0.4563125932157479</v>
      </c>
      <c r="J43" s="22" t="s">
        <v>14</v>
      </c>
      <c r="K43" s="22" t="s">
        <v>160</v>
      </c>
      <c r="L43" s="185" t="s">
        <v>229</v>
      </c>
      <c r="M43" s="22"/>
      <c r="N43" s="68">
        <v>13.819999998785063</v>
      </c>
      <c r="O43" s="46">
        <v>13.819999998785063</v>
      </c>
      <c r="P43" s="79">
        <v>929869190.87817395</v>
      </c>
      <c r="Q43" s="79">
        <v>15562.791177790899</v>
      </c>
      <c r="R43" s="23" t="s">
        <v>161</v>
      </c>
      <c r="S43" s="24" t="s">
        <v>20</v>
      </c>
      <c r="T43" s="16">
        <v>28.34649598</v>
      </c>
      <c r="U43" s="16">
        <v>24.140030172989697</v>
      </c>
      <c r="V43" s="16">
        <f>LN(T43/AB43)</f>
        <v>0.24441113610516052</v>
      </c>
      <c r="W43" s="16">
        <f>LN(U43/AC43)</f>
        <v>-0.21203354781573452</v>
      </c>
      <c r="X43" s="19" t="s">
        <v>22</v>
      </c>
      <c r="Y43" s="45" t="s">
        <v>56</v>
      </c>
      <c r="Z43" s="162" t="s">
        <v>229</v>
      </c>
      <c r="AA43" s="190"/>
      <c r="AB43" s="86">
        <v>22.199999976964538</v>
      </c>
      <c r="AC43" s="48">
        <v>29.841648349399971</v>
      </c>
      <c r="AD43" s="82">
        <v>1087868626.26759</v>
      </c>
      <c r="AE43" s="82">
        <v>16512.6410559785</v>
      </c>
      <c r="AF43" s="17" t="s">
        <v>188</v>
      </c>
      <c r="AG43" s="13" t="s">
        <v>162</v>
      </c>
      <c r="AH43" s="14"/>
    </row>
    <row r="44" spans="1:34" s="18" customFormat="1" x14ac:dyDescent="0.2">
      <c r="A44" s="8">
        <v>41</v>
      </c>
      <c r="B44" s="19" t="s">
        <v>17</v>
      </c>
      <c r="C44" s="19" t="s">
        <v>18</v>
      </c>
      <c r="D44" s="21" t="s">
        <v>163</v>
      </c>
      <c r="E44" s="74" t="s">
        <v>20</v>
      </c>
      <c r="F44" s="12">
        <v>21.344871479999998</v>
      </c>
      <c r="G44" s="165">
        <v>21.317077387073173</v>
      </c>
      <c r="H44" s="165">
        <f t="shared" si="0"/>
        <v>0.5512122377429569</v>
      </c>
      <c r="I44" s="165">
        <f t="shared" si="1"/>
        <v>0.51116912993962</v>
      </c>
      <c r="J44" s="166" t="s">
        <v>14</v>
      </c>
      <c r="K44" s="166"/>
      <c r="L44" s="183" t="s">
        <v>230</v>
      </c>
      <c r="M44" s="167"/>
      <c r="N44" s="68">
        <v>12.299999987555465</v>
      </c>
      <c r="O44" s="46">
        <v>12.785853658147893</v>
      </c>
      <c r="P44" s="79">
        <v>1052010832.86068</v>
      </c>
      <c r="Q44" s="79">
        <v>16241.278836186801</v>
      </c>
      <c r="R44" s="23" t="s">
        <v>164</v>
      </c>
      <c r="S44" s="24" t="s">
        <v>20</v>
      </c>
      <c r="T44" s="16">
        <v>21.251734540000001</v>
      </c>
      <c r="U44" s="16">
        <v>20.675490875714292</v>
      </c>
      <c r="V44" s="16">
        <f>LN(T44/AB44)</f>
        <v>0.5682040773902939</v>
      </c>
      <c r="W44" s="16">
        <f>LN(U44/AC44)</f>
        <v>0.46394468218496027</v>
      </c>
      <c r="X44" s="19" t="s">
        <v>22</v>
      </c>
      <c r="Y44" s="45" t="s">
        <v>140</v>
      </c>
      <c r="Z44" s="162" t="s">
        <v>230</v>
      </c>
      <c r="AA44" s="190"/>
      <c r="AB44" s="86">
        <v>12.040000002167792</v>
      </c>
      <c r="AC44" s="48">
        <v>13.000714284583239</v>
      </c>
      <c r="AD44" s="82">
        <v>1205791180.5840499</v>
      </c>
      <c r="AE44" s="82">
        <v>17280.731792041399</v>
      </c>
      <c r="AF44" s="17" t="s">
        <v>188</v>
      </c>
      <c r="AG44" s="13" t="s">
        <v>165</v>
      </c>
      <c r="AH44" s="14" t="s">
        <v>166</v>
      </c>
    </row>
    <row r="45" spans="1:34" s="18" customFormat="1" x14ac:dyDescent="0.2">
      <c r="A45" s="25">
        <v>42</v>
      </c>
      <c r="B45" s="26" t="s">
        <v>33</v>
      </c>
      <c r="C45" s="27" t="s">
        <v>12</v>
      </c>
      <c r="D45" s="28" t="s">
        <v>167</v>
      </c>
      <c r="E45" s="75" t="s">
        <v>20</v>
      </c>
      <c r="F45" s="30">
        <v>19.03296593</v>
      </c>
      <c r="G45" s="30">
        <v>17.396512185882354</v>
      </c>
      <c r="H45" s="30">
        <f t="shared" si="0"/>
        <v>-0.23188130635681492</v>
      </c>
      <c r="I45" s="30">
        <f t="shared" si="1"/>
        <v>0.17642452875654027</v>
      </c>
      <c r="J45" s="29" t="s">
        <v>14</v>
      </c>
      <c r="K45" s="29"/>
      <c r="L45" s="188" t="s">
        <v>230</v>
      </c>
      <c r="M45" s="168"/>
      <c r="N45" s="70">
        <v>24.000000015937239</v>
      </c>
      <c r="O45" s="50">
        <v>14.582835818987101</v>
      </c>
      <c r="P45" s="81">
        <v>1060948464.72207</v>
      </c>
      <c r="Q45" s="81">
        <v>14639.061396097601</v>
      </c>
      <c r="R45" s="31" t="s">
        <v>168</v>
      </c>
      <c r="S45" s="32" t="s">
        <v>20</v>
      </c>
      <c r="T45" s="33">
        <v>20.017447839999999</v>
      </c>
      <c r="U45" s="163">
        <v>20.791636886769222</v>
      </c>
      <c r="V45" s="163">
        <f>LN(T45/AB45)</f>
        <v>-0.3547023273171559</v>
      </c>
      <c r="W45" s="163">
        <f>LN(U45/AC45)</f>
        <v>0.09010375679010707</v>
      </c>
      <c r="X45" s="164" t="s">
        <v>14</v>
      </c>
      <c r="Y45" s="164"/>
      <c r="Z45" s="198" t="s">
        <v>228</v>
      </c>
      <c r="AA45" s="191"/>
      <c r="AB45" s="87">
        <v>28.540000014547623</v>
      </c>
      <c r="AC45" s="49">
        <v>19.000153846402995</v>
      </c>
      <c r="AD45" s="84">
        <v>1058308472.93695</v>
      </c>
      <c r="AE45" s="84">
        <v>16680.375812508199</v>
      </c>
      <c r="AF45" s="34" t="s">
        <v>188</v>
      </c>
      <c r="AG45" s="35" t="s">
        <v>169</v>
      </c>
      <c r="AH45" s="36" t="s">
        <v>170</v>
      </c>
    </row>
    <row r="46" spans="1:34" s="18" customFormat="1" x14ac:dyDescent="0.2">
      <c r="D46" s="37"/>
      <c r="F46" s="38"/>
      <c r="G46" s="38"/>
      <c r="R46" s="38"/>
      <c r="S46" s="38"/>
    </row>
    <row r="47" spans="1:34" s="18" customFormat="1" x14ac:dyDescent="0.2">
      <c r="D47" s="37"/>
      <c r="F47" s="38"/>
      <c r="G47" s="38"/>
      <c r="R47" s="38"/>
      <c r="S47" s="38"/>
    </row>
    <row r="48" spans="1:34" s="18" customFormat="1" ht="17" x14ac:dyDescent="0.2">
      <c r="A48" s="62" t="s">
        <v>198</v>
      </c>
      <c r="B48" s="18" t="s">
        <v>201</v>
      </c>
      <c r="E48" s="39"/>
      <c r="H48" s="38"/>
      <c r="I48" s="38"/>
      <c r="AD48" s="37"/>
      <c r="AG48" s="37"/>
    </row>
    <row r="49" spans="1:33" s="18" customFormat="1" x14ac:dyDescent="0.2">
      <c r="A49" s="62" t="s">
        <v>199</v>
      </c>
      <c r="B49" s="18" t="s">
        <v>202</v>
      </c>
      <c r="E49" s="39"/>
      <c r="H49" s="38"/>
      <c r="I49" s="38"/>
      <c r="AD49" s="37"/>
      <c r="AG49" s="37"/>
    </row>
    <row r="50" spans="1:33" s="18" customFormat="1" ht="17" x14ac:dyDescent="0.2">
      <c r="A50" s="62" t="s">
        <v>200</v>
      </c>
      <c r="B50" s="18" t="s">
        <v>209</v>
      </c>
      <c r="E50" s="39"/>
      <c r="H50" s="38"/>
      <c r="I50" s="38"/>
      <c r="AD50" s="37"/>
      <c r="AG50" s="37"/>
    </row>
    <row r="51" spans="1:33" s="18" customFormat="1" ht="17" x14ac:dyDescent="0.2">
      <c r="A51" s="63" t="s">
        <v>197</v>
      </c>
      <c r="B51" s="18" t="s">
        <v>208</v>
      </c>
      <c r="E51" s="39"/>
      <c r="H51" s="38"/>
      <c r="I51" s="38"/>
      <c r="AD51" s="37"/>
      <c r="AG51" s="37"/>
    </row>
    <row r="52" spans="1:33" x14ac:dyDescent="0.2">
      <c r="A52" s="40"/>
      <c r="E52" s="42"/>
      <c r="F52" s="1"/>
      <c r="G52" s="1"/>
      <c r="H52" s="41"/>
      <c r="I52" s="41"/>
      <c r="R52" s="1"/>
      <c r="S52" s="1"/>
      <c r="AC52" s="18"/>
      <c r="AD52" s="37"/>
      <c r="AE52" s="18"/>
      <c r="AF52" s="18"/>
      <c r="AG52" s="37"/>
    </row>
    <row r="53" spans="1:33" x14ac:dyDescent="0.2">
      <c r="A53" s="40"/>
      <c r="E53" s="42"/>
      <c r="F53" s="1"/>
      <c r="G53" s="1"/>
      <c r="H53" s="41" t="s">
        <v>224</v>
      </c>
      <c r="I53" s="41"/>
      <c r="R53" s="1"/>
      <c r="S53" s="1"/>
      <c r="AC53" s="18"/>
      <c r="AD53" s="37"/>
      <c r="AE53" s="18"/>
      <c r="AF53" s="18"/>
      <c r="AG53" s="37"/>
    </row>
    <row r="54" spans="1:33" x14ac:dyDescent="0.2">
      <c r="A54" s="40"/>
      <c r="E54" s="42"/>
      <c r="F54" s="1"/>
      <c r="G54" s="1"/>
      <c r="H54" s="41" t="s">
        <v>227</v>
      </c>
      <c r="I54" s="41"/>
      <c r="R54" s="1"/>
      <c r="S54" s="1"/>
      <c r="AC54" s="18"/>
      <c r="AD54" s="37"/>
      <c r="AE54" s="18"/>
      <c r="AF54" s="18"/>
      <c r="AG54" s="37"/>
    </row>
    <row r="55" spans="1:33" x14ac:dyDescent="0.2">
      <c r="A55" s="40"/>
      <c r="E55" s="42"/>
      <c r="F55" s="1"/>
      <c r="G55" s="1"/>
      <c r="H55" s="41" t="s">
        <v>235</v>
      </c>
      <c r="I55" s="41"/>
      <c r="R55" s="1"/>
      <c r="S55" s="1"/>
      <c r="AC55" s="18"/>
      <c r="AD55" s="37"/>
      <c r="AE55" s="18"/>
      <c r="AF55" s="18"/>
      <c r="AG55" s="37"/>
    </row>
    <row r="56" spans="1:33" x14ac:dyDescent="0.2">
      <c r="A56" s="40"/>
      <c r="E56" s="42"/>
      <c r="F56" s="1"/>
      <c r="G56" s="1"/>
      <c r="H56" s="41" t="s">
        <v>232</v>
      </c>
      <c r="I56" s="41"/>
      <c r="R56" s="1"/>
      <c r="S56" s="1"/>
      <c r="AC56" s="18"/>
      <c r="AD56" s="37"/>
      <c r="AE56" s="18"/>
      <c r="AF56" s="18"/>
      <c r="AG56" s="37"/>
    </row>
    <row r="57" spans="1:33" x14ac:dyDescent="0.2">
      <c r="A57" s="40"/>
      <c r="E57" s="42"/>
      <c r="F57" s="1"/>
      <c r="G57" s="1"/>
      <c r="H57" s="41" t="s">
        <v>229</v>
      </c>
      <c r="I57" s="41"/>
      <c r="R57" s="1"/>
      <c r="S57" s="1"/>
      <c r="AC57" s="18"/>
      <c r="AD57" s="37"/>
      <c r="AE57" s="18"/>
      <c r="AF57" s="18"/>
      <c r="AG57" s="37"/>
    </row>
    <row r="58" spans="1:33" x14ac:dyDescent="0.2">
      <c r="A58" s="42"/>
      <c r="E58" s="42"/>
      <c r="F58" s="1"/>
      <c r="G58" s="1"/>
      <c r="H58" s="41" t="s">
        <v>228</v>
      </c>
      <c r="I58" s="41"/>
      <c r="R58" s="1"/>
      <c r="S58" s="1"/>
      <c r="AC58" s="18"/>
      <c r="AD58" s="37"/>
      <c r="AE58" s="18"/>
      <c r="AF58" s="18"/>
      <c r="AG58" s="37"/>
    </row>
    <row r="59" spans="1:33" x14ac:dyDescent="0.2">
      <c r="A59" s="42"/>
      <c r="E59" s="42"/>
      <c r="F59" s="1"/>
      <c r="G59" s="1"/>
      <c r="H59" s="41" t="s">
        <v>230</v>
      </c>
      <c r="I59" s="41"/>
      <c r="R59" s="1"/>
      <c r="S59" s="1"/>
      <c r="AC59" s="18"/>
      <c r="AD59" s="37"/>
      <c r="AE59" s="18"/>
      <c r="AF59" s="18"/>
      <c r="AG59" s="37"/>
    </row>
    <row r="60" spans="1:33" x14ac:dyDescent="0.2">
      <c r="A60" s="42"/>
      <c r="E60" s="42"/>
      <c r="F60" s="1"/>
      <c r="G60" s="1"/>
      <c r="H60" s="41" t="s">
        <v>231</v>
      </c>
      <c r="I60" s="41"/>
      <c r="R60" s="1"/>
      <c r="S60" s="1"/>
      <c r="AC60" s="18"/>
      <c r="AD60" s="37"/>
      <c r="AE60" s="18"/>
      <c r="AF60" s="18"/>
      <c r="AG60" s="37"/>
    </row>
    <row r="61" spans="1:33" x14ac:dyDescent="0.2">
      <c r="A61" s="42"/>
      <c r="E61" s="42"/>
      <c r="F61" s="1"/>
      <c r="G61" s="1"/>
      <c r="H61" s="41" t="s">
        <v>233</v>
      </c>
      <c r="I61" s="41"/>
      <c r="R61" s="1"/>
      <c r="S61" s="1"/>
      <c r="AC61" s="18"/>
      <c r="AD61" s="37"/>
      <c r="AE61" s="18"/>
      <c r="AF61" s="18"/>
      <c r="AG61" s="37"/>
    </row>
    <row r="62" spans="1:33" x14ac:dyDescent="0.2">
      <c r="A62" s="42"/>
      <c r="E62" s="42"/>
      <c r="F62" s="1"/>
      <c r="G62" s="1"/>
      <c r="H62" s="41"/>
      <c r="I62" s="41"/>
      <c r="R62" s="1"/>
      <c r="S62" s="1"/>
      <c r="AC62" s="18"/>
      <c r="AD62" s="37"/>
      <c r="AE62" s="18"/>
      <c r="AF62" s="18"/>
      <c r="AG62" s="37"/>
    </row>
    <row r="63" spans="1:33" x14ac:dyDescent="0.2">
      <c r="A63" s="42"/>
      <c r="E63" s="42"/>
      <c r="F63" s="1"/>
      <c r="G63" s="1"/>
      <c r="H63" s="41"/>
      <c r="I63" s="41"/>
      <c r="R63" s="1"/>
      <c r="S63" s="1"/>
      <c r="AC63" s="18"/>
      <c r="AD63" s="37"/>
      <c r="AE63" s="18"/>
      <c r="AF63" s="18"/>
      <c r="AG63" s="37"/>
    </row>
    <row r="64" spans="1:33" x14ac:dyDescent="0.2">
      <c r="A64" s="42"/>
      <c r="E64" s="42"/>
      <c r="F64" s="1"/>
      <c r="G64" s="1"/>
      <c r="H64" s="41"/>
      <c r="I64" s="41"/>
      <c r="R64" s="1"/>
      <c r="S64" s="1"/>
      <c r="AC64" s="18"/>
      <c r="AD64" s="37"/>
      <c r="AE64" s="18"/>
      <c r="AF64" s="18"/>
      <c r="AG64" s="37"/>
    </row>
    <row r="65" spans="1:33" x14ac:dyDescent="0.2">
      <c r="A65" s="42"/>
      <c r="E65" s="42"/>
      <c r="F65" s="1"/>
      <c r="G65" s="1"/>
      <c r="H65" s="41"/>
      <c r="I65" s="41"/>
      <c r="R65" s="1"/>
      <c r="S65" s="1"/>
      <c r="AC65" s="18"/>
      <c r="AD65" s="37"/>
      <c r="AE65" s="18"/>
      <c r="AF65" s="18"/>
      <c r="AG65" s="37"/>
    </row>
    <row r="66" spans="1:33" x14ac:dyDescent="0.2">
      <c r="A66" s="42"/>
      <c r="E66" s="42"/>
      <c r="F66" s="1"/>
      <c r="G66" s="1"/>
      <c r="H66" s="41"/>
      <c r="I66" s="41"/>
      <c r="R66" s="1"/>
      <c r="S66" s="1"/>
      <c r="AC66" s="18"/>
      <c r="AD66" s="37"/>
      <c r="AE66" s="18"/>
      <c r="AF66" s="18"/>
      <c r="AG66" s="37"/>
    </row>
    <row r="67" spans="1:33" x14ac:dyDescent="0.2">
      <c r="A67" s="42"/>
      <c r="E67" s="42"/>
      <c r="F67" s="1"/>
      <c r="G67" s="1"/>
      <c r="H67" s="41"/>
      <c r="I67" s="41"/>
      <c r="R67" s="1"/>
      <c r="S67" s="1"/>
      <c r="AC67" s="18"/>
      <c r="AD67" s="37"/>
      <c r="AE67" s="18"/>
      <c r="AF67" s="18"/>
      <c r="AG67" s="37"/>
    </row>
    <row r="68" spans="1:33" x14ac:dyDescent="0.2">
      <c r="A68" s="42"/>
      <c r="E68" s="42"/>
      <c r="F68" s="1"/>
      <c r="G68" s="1"/>
      <c r="H68" s="41"/>
      <c r="I68" s="41"/>
      <c r="R68" s="1"/>
      <c r="S68" s="1"/>
      <c r="AC68" s="18"/>
      <c r="AD68" s="37"/>
      <c r="AE68" s="18"/>
      <c r="AF68" s="18"/>
      <c r="AG68" s="37"/>
    </row>
    <row r="69" spans="1:33" x14ac:dyDescent="0.2">
      <c r="A69" s="42"/>
      <c r="E69" s="42"/>
      <c r="F69" s="1"/>
      <c r="G69" s="1"/>
      <c r="H69" s="41"/>
      <c r="I69" s="41"/>
      <c r="R69" s="1"/>
      <c r="S69" s="1"/>
      <c r="AC69" s="18"/>
      <c r="AD69" s="37"/>
      <c r="AE69" s="18"/>
      <c r="AF69" s="18"/>
      <c r="AG69" s="37"/>
    </row>
    <row r="70" spans="1:33" x14ac:dyDescent="0.2">
      <c r="A70" s="42"/>
      <c r="E70" s="42"/>
      <c r="F70" s="1"/>
      <c r="G70" s="1"/>
      <c r="H70" s="41"/>
      <c r="I70" s="41"/>
      <c r="R70" s="1"/>
      <c r="S70" s="1"/>
      <c r="AC70" s="18"/>
      <c r="AD70" s="37"/>
      <c r="AE70" s="18"/>
      <c r="AF70" s="18"/>
      <c r="AG70" s="37"/>
    </row>
    <row r="71" spans="1:33" x14ac:dyDescent="0.2">
      <c r="A71" s="42"/>
      <c r="E71" s="42"/>
      <c r="F71" s="1"/>
      <c r="G71" s="1"/>
      <c r="H71" s="41"/>
      <c r="I71" s="41"/>
      <c r="R71" s="1"/>
      <c r="S71" s="1"/>
      <c r="AC71" s="18"/>
      <c r="AD71" s="37"/>
      <c r="AE71" s="18"/>
      <c r="AF71" s="18"/>
      <c r="AG71" s="37"/>
    </row>
    <row r="72" spans="1:33" x14ac:dyDescent="0.2">
      <c r="A72" s="42"/>
      <c r="E72" s="42"/>
      <c r="F72" s="1"/>
      <c r="G72" s="1"/>
      <c r="H72" s="41"/>
      <c r="I72" s="41"/>
      <c r="R72" s="1"/>
      <c r="S72" s="1"/>
      <c r="AC72" s="18"/>
      <c r="AD72" s="37"/>
      <c r="AE72" s="18"/>
      <c r="AF72" s="18"/>
      <c r="AG72" s="37"/>
    </row>
    <row r="73" spans="1:33" x14ac:dyDescent="0.2">
      <c r="A73" s="42"/>
      <c r="E73" s="42"/>
      <c r="F73" s="1"/>
      <c r="G73" s="1"/>
      <c r="H73" s="41"/>
      <c r="I73" s="41"/>
      <c r="R73" s="1"/>
      <c r="S73" s="1"/>
      <c r="AC73" s="18"/>
      <c r="AD73" s="37"/>
      <c r="AE73" s="18"/>
      <c r="AF73" s="18"/>
      <c r="AG73" s="37"/>
    </row>
    <row r="74" spans="1:33" x14ac:dyDescent="0.2">
      <c r="A74" s="42"/>
      <c r="E74" s="42"/>
      <c r="F74" s="1"/>
      <c r="G74" s="1"/>
      <c r="H74" s="41"/>
      <c r="I74" s="41"/>
      <c r="R74" s="1"/>
      <c r="S74" s="1"/>
      <c r="AC74" s="18"/>
      <c r="AD74" s="37"/>
      <c r="AE74" s="18"/>
      <c r="AF74" s="18"/>
      <c r="AG74" s="37"/>
    </row>
    <row r="75" spans="1:33" x14ac:dyDescent="0.2">
      <c r="A75" s="42"/>
      <c r="E75" s="42"/>
      <c r="F75" s="1"/>
      <c r="G75" s="1"/>
      <c r="H75" s="41"/>
      <c r="I75" s="41"/>
      <c r="R75" s="1"/>
      <c r="S75" s="1"/>
      <c r="AC75" s="18"/>
      <c r="AD75" s="37"/>
      <c r="AE75" s="18"/>
      <c r="AF75" s="18"/>
      <c r="AG75" s="37"/>
    </row>
    <row r="76" spans="1:33" x14ac:dyDescent="0.2">
      <c r="A76" s="42"/>
      <c r="E76" s="42"/>
      <c r="F76" s="1"/>
      <c r="G76" s="1"/>
      <c r="H76" s="41"/>
      <c r="I76" s="41"/>
      <c r="R76" s="1"/>
      <c r="S76" s="1"/>
      <c r="AC76" s="18"/>
      <c r="AD76" s="37"/>
      <c r="AE76" s="18"/>
      <c r="AF76" s="18"/>
      <c r="AG76" s="37"/>
    </row>
    <row r="77" spans="1:33" x14ac:dyDescent="0.2">
      <c r="A77" s="42"/>
      <c r="E77" s="42"/>
      <c r="F77" s="1"/>
      <c r="G77" s="1"/>
      <c r="H77" s="41"/>
      <c r="I77" s="41"/>
      <c r="R77" s="1"/>
      <c r="S77" s="1"/>
      <c r="AC77" s="18"/>
      <c r="AD77" s="37"/>
      <c r="AE77" s="18"/>
      <c r="AF77" s="18"/>
      <c r="AG77" s="37"/>
    </row>
    <row r="78" spans="1:33" x14ac:dyDescent="0.2">
      <c r="A78" s="42"/>
      <c r="E78" s="42"/>
      <c r="F78" s="1"/>
      <c r="G78" s="1"/>
      <c r="H78" s="41"/>
      <c r="I78" s="41"/>
      <c r="R78" s="1"/>
      <c r="S78" s="1"/>
      <c r="AC78" s="18"/>
      <c r="AD78" s="37"/>
      <c r="AE78" s="18"/>
      <c r="AF78" s="18"/>
      <c r="AG78" s="37"/>
    </row>
    <row r="79" spans="1:33" x14ac:dyDescent="0.2">
      <c r="A79" s="42"/>
      <c r="E79" s="42"/>
      <c r="F79" s="1"/>
      <c r="G79" s="1"/>
      <c r="H79" s="41"/>
      <c r="I79" s="41"/>
      <c r="R79" s="1"/>
      <c r="S79" s="1"/>
      <c r="AC79" s="18"/>
      <c r="AD79" s="37"/>
      <c r="AE79" s="18"/>
      <c r="AF79" s="18"/>
      <c r="AG79" s="37"/>
    </row>
    <row r="80" spans="1:33" x14ac:dyDescent="0.2">
      <c r="A80" s="42"/>
      <c r="E80" s="42"/>
      <c r="F80" s="1"/>
      <c r="G80" s="1"/>
      <c r="H80" s="41"/>
      <c r="I80" s="41"/>
      <c r="R80" s="1"/>
      <c r="S80" s="1"/>
      <c r="AC80" s="18"/>
      <c r="AD80" s="37"/>
      <c r="AE80" s="18"/>
      <c r="AF80" s="18"/>
      <c r="AG80" s="37"/>
    </row>
    <row r="81" spans="1:33" x14ac:dyDescent="0.2">
      <c r="A81" s="42"/>
      <c r="E81" s="42"/>
      <c r="F81" s="1"/>
      <c r="G81" s="1"/>
      <c r="H81" s="41"/>
      <c r="I81" s="41"/>
      <c r="R81" s="1"/>
      <c r="S81" s="1"/>
      <c r="AC81" s="18"/>
      <c r="AD81" s="37"/>
      <c r="AE81" s="18"/>
      <c r="AF81" s="18"/>
      <c r="AG81" s="37"/>
    </row>
    <row r="82" spans="1:33" x14ac:dyDescent="0.2">
      <c r="A82" s="42"/>
      <c r="E82" s="42"/>
      <c r="F82" s="1"/>
      <c r="G82" s="1"/>
      <c r="H82" s="41"/>
      <c r="I82" s="41"/>
      <c r="R82" s="1"/>
      <c r="S82" s="1"/>
      <c r="AC82" s="18"/>
      <c r="AD82" s="37"/>
      <c r="AE82" s="18"/>
      <c r="AF82" s="18"/>
      <c r="AG82" s="37"/>
    </row>
    <row r="83" spans="1:33" x14ac:dyDescent="0.2">
      <c r="A83" s="42"/>
      <c r="E83" s="42"/>
      <c r="F83" s="1"/>
      <c r="G83" s="1"/>
      <c r="H83" s="41"/>
      <c r="I83" s="41"/>
      <c r="R83" s="1"/>
      <c r="S83" s="1"/>
      <c r="AC83" s="18"/>
      <c r="AD83" s="37"/>
      <c r="AE83" s="18"/>
      <c r="AF83" s="18"/>
      <c r="AG83" s="37"/>
    </row>
    <row r="84" spans="1:33" x14ac:dyDescent="0.2">
      <c r="A84" s="42"/>
      <c r="E84" s="42"/>
      <c r="F84" s="1"/>
      <c r="G84" s="1"/>
      <c r="H84" s="41"/>
      <c r="I84" s="41"/>
      <c r="R84" s="1"/>
      <c r="S84" s="1"/>
      <c r="AC84" s="18"/>
      <c r="AD84" s="37"/>
      <c r="AE84" s="18"/>
      <c r="AF84" s="18"/>
      <c r="AG84" s="37"/>
    </row>
    <row r="85" spans="1:33" x14ac:dyDescent="0.2">
      <c r="A85" s="42"/>
      <c r="E85" s="42"/>
      <c r="F85" s="1"/>
      <c r="G85" s="1"/>
      <c r="H85" s="41"/>
      <c r="I85" s="41"/>
      <c r="R85" s="1"/>
      <c r="S85" s="1"/>
      <c r="AC85" s="18"/>
      <c r="AD85" s="37"/>
      <c r="AE85" s="18"/>
      <c r="AF85" s="18"/>
      <c r="AG85" s="37"/>
    </row>
    <row r="86" spans="1:33" x14ac:dyDescent="0.2">
      <c r="A86" s="42"/>
      <c r="E86" s="42"/>
      <c r="F86" s="1"/>
      <c r="G86" s="1"/>
      <c r="H86" s="41"/>
      <c r="I86" s="41"/>
      <c r="R86" s="1"/>
      <c r="S86" s="1"/>
      <c r="AC86" s="18"/>
      <c r="AD86" s="37"/>
      <c r="AE86" s="18"/>
      <c r="AF86" s="18"/>
      <c r="AG86" s="37"/>
    </row>
    <row r="87" spans="1:33" x14ac:dyDescent="0.2">
      <c r="A87" s="42"/>
      <c r="E87" s="42"/>
      <c r="F87" s="1"/>
      <c r="G87" s="1"/>
      <c r="H87" s="41"/>
      <c r="I87" s="41"/>
      <c r="R87" s="1"/>
      <c r="S87" s="1"/>
      <c r="AC87" s="18"/>
      <c r="AD87" s="37"/>
      <c r="AE87" s="18"/>
      <c r="AF87" s="18"/>
      <c r="AG87" s="37"/>
    </row>
    <row r="88" spans="1:33" x14ac:dyDescent="0.2">
      <c r="A88" s="42"/>
      <c r="E88" s="42"/>
      <c r="F88" s="1"/>
      <c r="G88" s="1"/>
      <c r="H88" s="41"/>
      <c r="I88" s="41"/>
      <c r="R88" s="1"/>
      <c r="S88" s="1"/>
      <c r="AC88" s="18"/>
      <c r="AD88" s="37"/>
      <c r="AE88" s="18"/>
      <c r="AF88" s="18"/>
      <c r="AG88" s="37"/>
    </row>
    <row r="89" spans="1:33" x14ac:dyDescent="0.2">
      <c r="A89" s="42"/>
      <c r="E89" s="42"/>
      <c r="F89" s="1"/>
      <c r="G89" s="1"/>
      <c r="H89" s="41"/>
      <c r="I89" s="41"/>
      <c r="R89" s="1"/>
      <c r="S89" s="1"/>
      <c r="AC89" s="18"/>
      <c r="AD89" s="37"/>
      <c r="AE89" s="18"/>
      <c r="AF89" s="18"/>
      <c r="AG89" s="37"/>
    </row>
    <row r="90" spans="1:33" x14ac:dyDescent="0.2">
      <c r="AC90" s="18"/>
      <c r="AD90" s="37"/>
      <c r="AE90" s="18"/>
      <c r="AF90" s="18"/>
      <c r="AG90" s="37"/>
    </row>
    <row r="91" spans="1:33" x14ac:dyDescent="0.2">
      <c r="AC91" s="18"/>
      <c r="AD91" s="37"/>
      <c r="AE91" s="18"/>
      <c r="AF91" s="18"/>
      <c r="AG91" s="37"/>
    </row>
  </sheetData>
  <mergeCells count="13">
    <mergeCell ref="AD2:AE2"/>
    <mergeCell ref="B1:C1"/>
    <mergeCell ref="D1:M1"/>
    <mergeCell ref="R1:AA1"/>
    <mergeCell ref="AF1:AH1"/>
    <mergeCell ref="B2:C2"/>
    <mergeCell ref="F2:G2"/>
    <mergeCell ref="N2:O2"/>
    <mergeCell ref="P2:Q2"/>
    <mergeCell ref="T2:U2"/>
    <mergeCell ref="AB2:AC2"/>
    <mergeCell ref="H2:I2"/>
    <mergeCell ref="V2:W2"/>
  </mergeCells>
  <conditionalFormatting sqref="F4:F45 T4:T45">
    <cfRule type="colorScale" priority="3">
      <colorScale>
        <cfvo type="min"/>
        <cfvo type="percentile" val="50"/>
        <cfvo type="max"/>
        <color rgb="FFF8696B"/>
        <color rgb="FFFCFCFF"/>
        <color rgb="FF5A8AC6"/>
      </colorScale>
    </cfRule>
  </conditionalFormatting>
  <conditionalFormatting sqref="G4:G45 U4:U45">
    <cfRule type="colorScale" priority="2">
      <colorScale>
        <cfvo type="min"/>
        <cfvo type="percentile" val="50"/>
        <cfvo type="max"/>
        <color rgb="FFF8696B"/>
        <color rgb="FFFCFCFF"/>
        <color rgb="FF5A8AC6"/>
      </colorScale>
    </cfRule>
  </conditionalFormatting>
  <conditionalFormatting sqref="V4:V45 H4:H45">
    <cfRule type="colorScale" priority="1">
      <colorScale>
        <cfvo type="min"/>
        <cfvo type="percentile" val="50"/>
        <cfvo type="max"/>
        <color rgb="FFF8696B"/>
        <color rgb="FFFCFCFF"/>
        <color rgb="FF5A8AC6"/>
      </colorScale>
    </cfRule>
  </conditionalFormatting>
  <conditionalFormatting sqref="W4:W45 I4:I45">
    <cfRule type="colorScale" priority="6">
      <colorScale>
        <cfvo type="min"/>
        <cfvo type="percentile" val="50"/>
        <cfvo type="max"/>
        <color rgb="FFF8696B"/>
        <color rgb="FFFCFCFF"/>
        <color rgb="FF5A8AC6"/>
      </colorScale>
    </cfRule>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sheetData>
    <row r="1">
      <c r="A1" t="inlineStr">
        <is>
          <t xml:space="preserve">Pair #</t>
        </is>
      </c>
      <c r="B1" t="inlineStr">
        <is>
          <t xml:space="preserve">Pair ID (analysis)</t>
        </is>
      </c>
      <c r="C1" t="inlineStr">
        <is>
          <t xml:space="preserve">Taxon code</t>
        </is>
      </c>
      <c r="D1" t="inlineStr">
        <is>
          <t xml:space="preserve">Sister</t>
        </is>
      </c>
      <c r="E1" t="inlineStr">
        <is>
          <t xml:space="preserve">Species (AviList)</t>
        </is>
      </c>
      <c r="F1" t="inlineStr">
        <is>
          <t xml:space="preserve">AVONET name (if different)</t>
        </is>
      </c>
      <c r="G1" t="inlineStr">
        <is>
          <t xml:space="preserve">Supergroup</t>
        </is>
      </c>
      <c r="H1" t="inlineStr">
        <is>
          <t xml:space="preserve">Order</t>
        </is>
      </c>
      <c r="I1" t="inlineStr">
        <is>
          <t xml:space="preserve">Family</t>
        </is>
      </c>
      <c r="J1" t="inlineStr">
        <is>
          <t xml:space="preserve">Pair: flight habit change</t>
        </is>
      </c>
      <c r="K1" t="inlineStr">
        <is>
          <t xml:space="preserve">Pair: migration change</t>
        </is>
      </c>
      <c r="L1" t="inlineStr">
        <is>
          <t xml:space="preserve">Flight ability</t>
        </is>
      </c>
      <c r="M1" t="inlineStr">
        <is>
          <t xml:space="preserve">Primary flight style</t>
        </is>
      </c>
      <c r="N1" t="inlineStr">
        <is>
          <t xml:space="preserve">Primary aquatic locomotion</t>
        </is>
      </c>
      <c r="O1" t="inlineStr">
        <is>
          <t xml:space="preserve">Winged migration</t>
        </is>
      </c>
      <c r="P1" t="inlineStr">
        <is>
          <t xml:space="preserve">Migratory distance/habit</t>
        </is>
      </c>
      <c r="Q1" t="inlineStr">
        <is>
          <t xml:space="preserve">AVONET migration (1 sed, 2 partial, 3 full)</t>
        </is>
      </c>
      <c r="R1" t="inlineStr">
        <is>
          <t xml:space="preserve">AVONET primary lifestyle</t>
        </is>
      </c>
      <c r="S1" t="inlineStr">
        <is>
          <t xml:space="preserve">AVONET habitat</t>
        </is>
      </c>
      <c r="T1" t="inlineStr">
        <is>
          <t xml:space="preserve">HWI (species)</t>
        </is>
      </c>
      <c r="U1" t="inlineStr">
        <is>
          <t xml:space="preserve">HWI (clade)</t>
        </is>
      </c>
      <c r="V1" t="inlineStr">
        <is>
          <t xml:space="preserve">ln(HWI/mass) species</t>
        </is>
      </c>
      <c r="W1" t="inlineStr">
        <is>
          <t xml:space="preserve">ln(HWI/mass) clade</t>
        </is>
      </c>
      <c r="X1" t="inlineStr">
        <is>
          <t xml:space="preserve">Body mass g (species, Table S1)</t>
        </is>
      </c>
      <c r="Y1" t="inlineStr">
        <is>
          <t xml:space="preserve">Body mass g (clade, Table S1)</t>
        </is>
      </c>
      <c r="Z1" t="inlineStr">
        <is>
          <t xml:space="preserve">Body mass g (AVONET / literature)</t>
        </is>
      </c>
      <c r="AA1" t="inlineStr">
        <is>
          <t xml:space="preserve">Wing length (mm)</t>
        </is>
      </c>
      <c r="AB1" t="inlineStr">
        <is>
          <t xml:space="preserve">Kipp's distance (mm)</t>
        </is>
      </c>
      <c r="AC1" t="inlineStr">
        <is>
          <t xml:space="preserve">Secondary1 (mm)</t>
        </is>
      </c>
      <c r="AD1" t="inlineStr">
        <is>
          <t xml:space="preserve">Tarsus length (mm)</t>
        </is>
      </c>
      <c r="AE1" t="inlineStr">
        <is>
          <t xml:space="preserve">Tail length (mm)</t>
        </is>
      </c>
      <c r="AF1" t="inlineStr">
        <is>
          <t xml:space="preserve">Wing area (cm2)</t>
        </is>
      </c>
      <c r="AG1" t="inlineStr">
        <is>
          <t xml:space="preserve">Mass used with wing area (g)</t>
        </is>
      </c>
      <c r="AH1" t="inlineStr">
        <is>
          <t xml:space="preserve">Wing loading (g/cm2)</t>
        </is>
      </c>
      <c r="AI1" t="inlineStr">
        <is>
          <t xml:space="preserve">Wing area source</t>
        </is>
      </c>
      <c r="AJ1" t="inlineStr">
        <is>
          <t xml:space="preserve">ln(wing length / mass^(1/3))</t>
        </is>
      </c>
      <c r="AK1" t="inlineStr">
        <is>
          <t xml:space="preserve">ln(mass / wing length^2)</t>
        </is>
      </c>
      <c r="AL1" t="inlineStr">
        <is>
          <t xml:space="preserve">Centroid latitude</t>
        </is>
      </c>
      <c r="AM1" t="inlineStr">
        <is>
          <t xml:space="preserve">Min latitude</t>
        </is>
      </c>
      <c r="AN1" t="inlineStr">
        <is>
          <t xml:space="preserve">Max latitude</t>
        </is>
      </c>
      <c r="AO1" t="inlineStr">
        <is>
          <t xml:space="preserve">Range size (km2)</t>
        </is>
      </c>
      <c r="AP1" t="inlineStr">
        <is>
          <t xml:space="preserve">Genome length bp (std.)</t>
        </is>
      </c>
      <c r="AQ1" t="inlineStr">
        <is>
          <t xml:space="preserve">N genes (std.)</t>
        </is>
      </c>
      <c r="AR1" t="inlineStr">
        <is>
          <t xml:space="preserve">Morphometric source</t>
        </is>
      </c>
      <c r="AS1" t="inlineStr">
        <is>
          <t xml:space="preserve">Generation length (years)</t>
        </is>
      </c>
      <c r="AT1" t="inlineStr">
        <is>
          <t xml:space="preserve">Generation length source</t>
        </is>
      </c>
    </row>
    <row r="2">
      <c r="A2" t="inlineStr">
        <is>
          <t xml:space="preserve">1</t>
        </is>
      </c>
      <c r="B2" t="inlineStr">
        <is>
          <t xml:space="preserve">RHEPEN-TINGUT-FD</t>
        </is>
      </c>
      <c r="C2" t="inlineStr">
        <is>
          <t xml:space="preserve">RHEPEN</t>
        </is>
      </c>
      <c r="D2" t="inlineStr">
        <is>
          <t xml:space="preserve">lesser flight capacity</t>
        </is>
      </c>
      <c r="E2" t="inlineStr">
        <is>
          <t xml:space="preserve">Rhea pennata</t>
        </is>
      </c>
      <c r="G2" t="inlineStr">
        <is>
          <t xml:space="preserve">Palaeognathae</t>
        </is>
      </c>
      <c r="J2" t="inlineStr">
        <is>
          <t xml:space="preserve">toward flight loss</t>
        </is>
      </c>
      <c r="K2" t="inlineStr">
        <is>
          <t xml:space="preserve">N/A (sed.)</t>
        </is>
      </c>
      <c r="L2" t="inlineStr">
        <is>
          <t xml:space="preserve">lost</t>
        </is>
      </c>
      <c r="M2" t="inlineStr">
        <is>
          <t xml:space="preserve">none</t>
        </is>
      </c>
      <c r="O2" t="inlineStr">
        <is>
          <t xml:space="preserve">sedentary</t>
        </is>
      </c>
      <c r="Q2">
        <v>1</v>
      </c>
      <c r="R2" t="inlineStr">
        <is>
          <t xml:space="preserve">Terrestrial</t>
        </is>
      </c>
      <c r="S2" t="inlineStr">
        <is>
          <t xml:space="preserve">Grassland</t>
        </is>
      </c>
      <c r="T2">
        <v>0.016167</v>
      </c>
      <c r="U2">
        <v>0.016378</v>
      </c>
      <c r="V2">
        <v>-14.206386</v>
      </c>
      <c r="W2">
        <v>-14.174448</v>
      </c>
      <c r="X2">
        <v>23900</v>
      </c>
      <c r="Y2">
        <v>23450</v>
      </c>
      <c r="Z2">
        <v>23900</v>
      </c>
      <c r="AA2">
        <v>629.5</v>
      </c>
      <c r="AB2">
        <v>0.4</v>
      </c>
      <c r="AC2">
        <v>629.1</v>
      </c>
      <c r="AD2">
        <v>292.5</v>
      </c>
      <c r="AE2">
        <v>56.8</v>
      </c>
      <c r="AJ2">
        <v>3.0844</v>
      </c>
      <c r="AK2">
        <v>1.797</v>
      </c>
      <c r="AL2">
        <v>-44.99</v>
      </c>
      <c r="AM2">
        <v>-53.54</v>
      </c>
      <c r="AN2">
        <v>-35.63</v>
      </c>
      <c r="AO2">
        <v>660510.26</v>
      </c>
      <c r="AP2">
        <v>1164842393.7</v>
      </c>
      <c r="AQ2">
        <v>15268.13</v>
      </c>
      <c r="AR2" t="inlineStr">
        <is>
          <t xml:space="preserve">AVONET (Tobias et al. 2022)</t>
        </is>
      </c>
      <c r="AS2">
        <v>9.2552</v>
      </c>
      <c r="AT2" t="inlineStr">
        <is>
          <t xml:space="preserve">Bird et al. 2020, Table S4</t>
        </is>
      </c>
    </row>
    <row r="3">
      <c r="A3" t="inlineStr">
        <is>
          <t xml:space="preserve">1</t>
        </is>
      </c>
      <c r="B3" t="inlineStr">
        <is>
          <t xml:space="preserve">RHEPEN-TINGUT-FD</t>
        </is>
      </c>
      <c r="C3" t="inlineStr">
        <is>
          <t xml:space="preserve">TINGUT</t>
        </is>
      </c>
      <c r="D3" t="inlineStr">
        <is>
          <t xml:space="preserve">greater flight capacity</t>
        </is>
      </c>
      <c r="E3" t="inlineStr">
        <is>
          <t xml:space="preserve">Tinamus guttatus</t>
        </is>
      </c>
      <c r="G3" t="inlineStr">
        <is>
          <t xml:space="preserve">Palaeognathae</t>
        </is>
      </c>
      <c r="J3" t="inlineStr">
        <is>
          <t xml:space="preserve">toward flight loss</t>
        </is>
      </c>
      <c r="K3" t="inlineStr">
        <is>
          <t xml:space="preserve">N/A (sed.)</t>
        </is>
      </c>
      <c r="L3" t="inlineStr">
        <is>
          <t xml:space="preserve">volant</t>
        </is>
      </c>
      <c r="M3" t="inlineStr">
        <is>
          <t xml:space="preserve">burst flight (BF)</t>
        </is>
      </c>
      <c r="O3" t="inlineStr">
        <is>
          <t xml:space="preserve">sedentary</t>
        </is>
      </c>
      <c r="Q3">
        <v>1</v>
      </c>
      <c r="R3" t="inlineStr">
        <is>
          <t xml:space="preserve">Terrestrial</t>
        </is>
      </c>
      <c r="S3" t="inlineStr">
        <is>
          <t xml:space="preserve">Forest</t>
        </is>
      </c>
      <c r="T3">
        <v>26.404998</v>
      </c>
      <c r="U3">
        <v>23.335802</v>
      </c>
      <c r="V3">
        <v>-3.257587</v>
      </c>
      <c r="W3">
        <v>-3.124524</v>
      </c>
      <c r="X3">
        <v>686.18</v>
      </c>
      <c r="Y3">
        <v>530.867</v>
      </c>
      <c r="Z3">
        <v>686.18</v>
      </c>
      <c r="AA3">
        <v>195.4</v>
      </c>
      <c r="AB3">
        <v>50.9</v>
      </c>
      <c r="AC3">
        <v>142.1</v>
      </c>
      <c r="AD3">
        <v>57.6</v>
      </c>
      <c r="AE3">
        <v>75.6</v>
      </c>
      <c r="AJ3">
        <v>3.098</v>
      </c>
      <c r="AK3">
        <v>0.5862</v>
      </c>
      <c r="AL3">
        <v>-5.63</v>
      </c>
      <c r="AM3">
        <v>-15.03</v>
      </c>
      <c r="AN3">
        <v>4.88</v>
      </c>
      <c r="AO3">
        <v>3971186.8</v>
      </c>
      <c r="AP3">
        <v>1066908499.6</v>
      </c>
      <c r="AQ3">
        <v>15089.59</v>
      </c>
      <c r="AR3" t="inlineStr">
        <is>
          <t xml:space="preserve">AVONET (Tobias et al. 2022)</t>
        </is>
      </c>
      <c r="AS3">
        <v>4.6842</v>
      </c>
      <c r="AT3" t="inlineStr">
        <is>
          <t xml:space="preserve">Bird et al. 2020, Table S4</t>
        </is>
      </c>
    </row>
    <row r="4">
      <c r="A4" t="inlineStr">
        <is>
          <t xml:space="preserve">2</t>
        </is>
      </c>
      <c r="B4" t="inlineStr">
        <is>
          <t xml:space="preserve">CHATOR-ANAPLA-SM</t>
        </is>
      </c>
      <c r="C4" t="inlineStr">
        <is>
          <t xml:space="preserve">CHATOR</t>
        </is>
      </c>
      <c r="D4" t="inlineStr">
        <is>
          <t xml:space="preserve">lesser flight capacity</t>
        </is>
      </c>
      <c r="E4" t="inlineStr">
        <is>
          <t xml:space="preserve">Chauna torquata</t>
        </is>
      </c>
      <c r="G4" t="inlineStr">
        <is>
          <t xml:space="preserve">Galloanseres</t>
        </is>
      </c>
      <c r="H4" t="inlineStr">
        <is>
          <t xml:space="preserve">Anseriformes</t>
        </is>
      </c>
      <c r="J4" t="inlineStr">
        <is>
          <t xml:space="preserve">to migratory</t>
        </is>
      </c>
      <c r="K4" t="inlineStr">
        <is>
          <t xml:space="preserve">sed.→migr.</t>
        </is>
      </c>
      <c r="L4" t="inlineStr">
        <is>
          <t xml:space="preserve">volant</t>
        </is>
      </c>
      <c r="M4" t="inlineStr">
        <is>
          <t xml:space="preserve">continuous flapping (CF)</t>
        </is>
      </c>
      <c r="N4" t="inlineStr">
        <is>
          <t xml:space="preserve">foot-propelled</t>
        </is>
      </c>
      <c r="O4" t="inlineStr">
        <is>
          <t xml:space="preserve">sedentary</t>
        </is>
      </c>
      <c r="Q4">
        <v>1</v>
      </c>
      <c r="R4" t="inlineStr">
        <is>
          <t xml:space="preserve">Terrestrial</t>
        </is>
      </c>
      <c r="S4" t="inlineStr">
        <is>
          <t xml:space="preserve">Wetland</t>
        </is>
      </c>
      <c r="T4">
        <v>35.29093</v>
      </c>
      <c r="U4">
        <v>34.311449</v>
      </c>
      <c r="V4">
        <v>-4.825734</v>
      </c>
      <c r="W4">
        <v>-4.586955</v>
      </c>
      <c r="X4">
        <v>4400</v>
      </c>
      <c r="Y4">
        <v>3369.213</v>
      </c>
      <c r="Z4">
        <v>4400</v>
      </c>
      <c r="AA4">
        <v>517</v>
      </c>
      <c r="AB4">
        <v>184</v>
      </c>
      <c r="AC4">
        <v>337.8</v>
      </c>
      <c r="AD4">
        <v>123.5</v>
      </c>
      <c r="AE4">
        <v>204.4</v>
      </c>
      <c r="AJ4">
        <v>3.4516</v>
      </c>
      <c r="AK4">
        <v>0.4984</v>
      </c>
      <c r="AL4">
        <v>-24.91</v>
      </c>
      <c r="AM4">
        <v>-39.01</v>
      </c>
      <c r="AN4">
        <v>-10.43</v>
      </c>
      <c r="AO4">
        <v>3828524.39</v>
      </c>
      <c r="AP4">
        <v>1178088651.9</v>
      </c>
      <c r="AQ4">
        <v>15815.42</v>
      </c>
      <c r="AR4" t="inlineStr">
        <is>
          <t xml:space="preserve">AVONET (Tobias et al. 2022)</t>
        </is>
      </c>
      <c r="AS4">
        <v>8.2979</v>
      </c>
      <c r="AT4" t="inlineStr">
        <is>
          <t xml:space="preserve">Bird et al. 2020, Table S4</t>
        </is>
      </c>
    </row>
    <row r="5">
      <c r="A5" t="inlineStr">
        <is>
          <t xml:space="preserve">2</t>
        </is>
      </c>
      <c r="B5" t="inlineStr">
        <is>
          <t xml:space="preserve">CHATOR-ANAPLA-SM</t>
        </is>
      </c>
      <c r="C5" t="inlineStr">
        <is>
          <t xml:space="preserve">ANAPLA</t>
        </is>
      </c>
      <c r="D5" t="inlineStr">
        <is>
          <t xml:space="preserve">greater flight capacity</t>
        </is>
      </c>
      <c r="E5" t="inlineStr">
        <is>
          <t xml:space="preserve">Anas platyrhynchos</t>
        </is>
      </c>
      <c r="G5" t="inlineStr">
        <is>
          <t xml:space="preserve">Galloanseres</t>
        </is>
      </c>
      <c r="H5" t="inlineStr">
        <is>
          <t xml:space="preserve">Anseriformes</t>
        </is>
      </c>
      <c r="J5" t="inlineStr">
        <is>
          <t xml:space="preserve">to migratory</t>
        </is>
      </c>
      <c r="K5" t="inlineStr">
        <is>
          <t xml:space="preserve">sed.→migr.</t>
        </is>
      </c>
      <c r="L5" t="inlineStr">
        <is>
          <t xml:space="preserve">volant</t>
        </is>
      </c>
      <c r="M5" t="inlineStr">
        <is>
          <t xml:space="preserve">continuous flapping (CF)</t>
        </is>
      </c>
      <c r="N5" t="inlineStr">
        <is>
          <t xml:space="preserve">foot-propelled</t>
        </is>
      </c>
      <c r="O5" t="inlineStr">
        <is>
          <t xml:space="preserve">migratory</t>
        </is>
      </c>
      <c r="P5" t="inlineStr">
        <is>
          <t xml:space="preserve">short–medium, partial</t>
        </is>
      </c>
      <c r="Q5">
        <v>2</v>
      </c>
      <c r="R5" t="inlineStr">
        <is>
          <t xml:space="preserve">Aquatic</t>
        </is>
      </c>
      <c r="S5" t="inlineStr">
        <is>
          <t xml:space="preserve">Wetland</t>
        </is>
      </c>
      <c r="T5">
        <v>50.776644</v>
      </c>
      <c r="U5">
        <v>45.471056</v>
      </c>
      <c r="V5">
        <v>-2.810029</v>
      </c>
      <c r="W5">
        <v>-3.457819</v>
      </c>
      <c r="X5">
        <v>843.42</v>
      </c>
      <c r="Y5">
        <v>1443.6</v>
      </c>
      <c r="Z5">
        <v>843.42</v>
      </c>
      <c r="AA5">
        <v>263.4</v>
      </c>
      <c r="AB5">
        <v>133.5</v>
      </c>
      <c r="AC5">
        <v>129.9</v>
      </c>
      <c r="AD5">
        <v>40.6</v>
      </c>
      <c r="AE5">
        <v>86.9</v>
      </c>
      <c r="AJ5">
        <v>3.3279</v>
      </c>
      <c r="AK5">
        <v>0.1953</v>
      </c>
      <c r="AL5">
        <v>51.63</v>
      </c>
      <c r="AM5">
        <v>20.46</v>
      </c>
      <c r="AN5">
        <v>72.37</v>
      </c>
      <c r="AO5">
        <v>39707247.47</v>
      </c>
      <c r="AP5">
        <v>1257930553.6</v>
      </c>
      <c r="AQ5">
        <v>17877.37</v>
      </c>
      <c r="AR5" t="inlineStr">
        <is>
          <t xml:space="preserve">AVONET (Tobias et al. 2022)</t>
        </is>
      </c>
      <c r="AS5">
        <v>4.7810</v>
      </c>
      <c r="AT5" t="inlineStr">
        <is>
          <t xml:space="preserve">Bird et al. 2020, Table S4</t>
        </is>
      </c>
    </row>
    <row r="6">
      <c r="A6" t="inlineStr">
        <is>
          <t xml:space="preserve">3</t>
        </is>
      </c>
      <c r="B6" t="inlineStr">
        <is>
          <t xml:space="preserve">MELGAL-TYMCUP-DV</t>
        </is>
      </c>
      <c r="C6" t="inlineStr">
        <is>
          <t xml:space="preserve">MELGAL</t>
        </is>
      </c>
      <c r="D6" t="inlineStr">
        <is>
          <t xml:space="preserve">lesser flight capacity</t>
        </is>
      </c>
      <c r="E6" t="inlineStr">
        <is>
          <t xml:space="preserve">Meleagris gallopavo</t>
        </is>
      </c>
      <c r="G6" t="inlineStr">
        <is>
          <t xml:space="preserve">Galloanseres</t>
        </is>
      </c>
      <c r="H6" t="inlineStr">
        <is>
          <t xml:space="preserve">Galliformes</t>
        </is>
      </c>
      <c r="I6" t="inlineStr">
        <is>
          <t xml:space="preserve">Phasianidae</t>
        </is>
      </c>
      <c r="J6" t="inlineStr">
        <is>
          <t xml:space="preserve">minimal</t>
        </is>
      </c>
      <c r="K6" t="inlineStr">
        <is>
          <t xml:space="preserve">N/A (sed.)</t>
        </is>
      </c>
      <c r="L6" t="inlineStr">
        <is>
          <t xml:space="preserve">limited</t>
        </is>
      </c>
      <c r="M6" t="inlineStr">
        <is>
          <t xml:space="preserve">burst flight (BF)</t>
        </is>
      </c>
      <c r="O6" t="inlineStr">
        <is>
          <t xml:space="preserve">sedentary</t>
        </is>
      </c>
      <c r="Q6">
        <v>1</v>
      </c>
      <c r="R6" t="inlineStr">
        <is>
          <t xml:space="preserve">Terrestrial</t>
        </is>
      </c>
      <c r="S6" t="inlineStr">
        <is>
          <t xml:space="preserve">Forest</t>
        </is>
      </c>
      <c r="T6">
        <v>25.981309</v>
      </c>
      <c r="U6">
        <v>26.276062</v>
      </c>
      <c r="V6">
        <v>-5.406747</v>
      </c>
      <c r="W6">
        <v>-5.3722</v>
      </c>
      <c r="X6">
        <v>5791.37</v>
      </c>
      <c r="Y6">
        <v>5658.185</v>
      </c>
      <c r="Z6">
        <v>5791.37</v>
      </c>
      <c r="AA6">
        <v>448.8</v>
      </c>
      <c r="AB6">
        <v>115</v>
      </c>
      <c r="AC6">
        <v>332.5</v>
      </c>
      <c r="AD6">
        <v>149.2</v>
      </c>
      <c r="AE6">
        <v>351.2</v>
      </c>
      <c r="AF6">
        <v>3752</v>
      </c>
      <c r="AG6">
        <v>3897</v>
      </c>
      <c r="AH6">
        <v>1.039</v>
      </c>
      <c r="AI6" t="inlineStr">
        <is>
          <t xml:space="preserve">Poole 1938</t>
        </is>
      </c>
      <c r="AJ6">
        <v>3.2185</v>
      </c>
      <c r="AK6">
        <v>1.0561</v>
      </c>
      <c r="AL6">
        <v>37.44</v>
      </c>
      <c r="AM6">
        <v>16.91</v>
      </c>
      <c r="AN6">
        <v>50.63</v>
      </c>
      <c r="AO6">
        <v>7259958.92</v>
      </c>
      <c r="AP6">
        <v>1102342267.8</v>
      </c>
      <c r="AQ6">
        <v>14958.51</v>
      </c>
      <c r="AR6" t="inlineStr">
        <is>
          <t xml:space="preserve">AVONET (Tobias et al. 2022)</t>
        </is>
      </c>
      <c r="AS6">
        <v>4.6898</v>
      </c>
      <c r="AT6" t="inlineStr">
        <is>
          <t xml:space="preserve">Bird et al. 2020, Table S4</t>
        </is>
      </c>
    </row>
    <row r="7">
      <c r="A7" t="inlineStr">
        <is>
          <t xml:space="preserve">3</t>
        </is>
      </c>
      <c r="B7" t="inlineStr">
        <is>
          <t xml:space="preserve">MELGAL-TYMCUP-DV</t>
        </is>
      </c>
      <c r="C7" t="inlineStr">
        <is>
          <t xml:space="preserve">TYMCUP</t>
        </is>
      </c>
      <c r="D7" t="inlineStr">
        <is>
          <t xml:space="preserve">greater flight capacity</t>
        </is>
      </c>
      <c r="E7" t="inlineStr">
        <is>
          <t xml:space="preserve">Tympanuchus cupido</t>
        </is>
      </c>
      <c r="G7" t="inlineStr">
        <is>
          <t xml:space="preserve">Galloanseres</t>
        </is>
      </c>
      <c r="H7" t="inlineStr">
        <is>
          <t xml:space="preserve">Galliformes</t>
        </is>
      </c>
      <c r="I7" t="inlineStr">
        <is>
          <t xml:space="preserve">Phasianidae</t>
        </is>
      </c>
      <c r="J7" t="inlineStr">
        <is>
          <t xml:space="preserve">minimal</t>
        </is>
      </c>
      <c r="K7" t="inlineStr">
        <is>
          <t xml:space="preserve">N/A (sed.)</t>
        </is>
      </c>
      <c r="L7" t="inlineStr">
        <is>
          <t xml:space="preserve">volant</t>
        </is>
      </c>
      <c r="M7" t="inlineStr">
        <is>
          <t xml:space="preserve">burst flight (BF)</t>
        </is>
      </c>
      <c r="O7" t="inlineStr">
        <is>
          <t xml:space="preserve">sedentary</t>
        </is>
      </c>
      <c r="Q7">
        <v>1</v>
      </c>
      <c r="R7" t="inlineStr">
        <is>
          <t xml:space="preserve">Terrestrial</t>
        </is>
      </c>
      <c r="S7" t="inlineStr">
        <is>
          <t xml:space="preserve">Grassland</t>
        </is>
      </c>
      <c r="T7">
        <v>42.688038</v>
      </c>
      <c r="U7">
        <v>37.437807</v>
      </c>
      <c r="V7">
        <v>-3.014666</v>
      </c>
      <c r="W7">
        <v>-3.315806</v>
      </c>
      <c r="X7">
        <v>870.08</v>
      </c>
      <c r="Y7">
        <v>1031.208</v>
      </c>
      <c r="Z7">
        <v>870.08</v>
      </c>
      <c r="AA7">
        <v>204.8</v>
      </c>
      <c r="AB7">
        <v>86.4</v>
      </c>
      <c r="AC7">
        <v>116.1</v>
      </c>
      <c r="AD7">
        <v>41.8</v>
      </c>
      <c r="AE7">
        <v>82</v>
      </c>
      <c r="AJ7">
        <v>3.0658</v>
      </c>
      <c r="AK7">
        <v>0.7297</v>
      </c>
      <c r="AL7">
        <v>41.99</v>
      </c>
      <c r="AM7">
        <v>28.74</v>
      </c>
      <c r="AN7">
        <v>47.96</v>
      </c>
      <c r="AO7">
        <v>402889.24</v>
      </c>
      <c r="AP7">
        <v>967198391.7</v>
      </c>
      <c r="AQ7">
        <v>15247.83</v>
      </c>
      <c r="AR7" t="inlineStr">
        <is>
          <t xml:space="preserve">AVONET (Tobias et al. 2022)</t>
        </is>
      </c>
      <c r="AS7">
        <v>2.6339</v>
      </c>
      <c r="AT7" t="inlineStr">
        <is>
          <t xml:space="preserve">Bird et al. 2020, Table S4</t>
        </is>
      </c>
    </row>
    <row r="8">
      <c r="A8" t="inlineStr">
        <is>
          <t xml:space="preserve">4</t>
        </is>
      </c>
      <c r="B8" t="inlineStr">
        <is>
          <t xml:space="preserve">GALGAL-COTJAP-DV</t>
        </is>
      </c>
      <c r="C8" t="inlineStr">
        <is>
          <t xml:space="preserve">GALGAL</t>
        </is>
      </c>
      <c r="D8" t="inlineStr">
        <is>
          <t xml:space="preserve">lesser flight capacity</t>
        </is>
      </c>
      <c r="E8" t="inlineStr">
        <is>
          <t xml:space="preserve">Gallus gallus</t>
        </is>
      </c>
      <c r="G8" t="inlineStr">
        <is>
          <t xml:space="preserve">Galloanseres</t>
        </is>
      </c>
      <c r="H8" t="inlineStr">
        <is>
          <t xml:space="preserve">Galliformes</t>
        </is>
      </c>
      <c r="I8" t="inlineStr">
        <is>
          <t xml:space="preserve">Phasianidae</t>
        </is>
      </c>
      <c r="J8" t="inlineStr">
        <is>
          <t xml:space="preserve">toward limited flight</t>
        </is>
      </c>
      <c r="K8" t="inlineStr">
        <is>
          <t xml:space="preserve">sed.→migr.</t>
        </is>
      </c>
      <c r="L8" t="inlineStr">
        <is>
          <t xml:space="preserve">limited</t>
        </is>
      </c>
      <c r="M8" t="inlineStr">
        <is>
          <t xml:space="preserve">burst flight (BF)</t>
        </is>
      </c>
      <c r="O8" t="inlineStr">
        <is>
          <t xml:space="preserve">sedentary</t>
        </is>
      </c>
      <c r="Q8">
        <v>1</v>
      </c>
      <c r="R8" t="inlineStr">
        <is>
          <t xml:space="preserve">Terrestrial</t>
        </is>
      </c>
      <c r="S8" t="inlineStr">
        <is>
          <t xml:space="preserve">Forest</t>
        </is>
      </c>
      <c r="T8">
        <v>23.217149</v>
      </c>
      <c r="U8">
        <v>25.339278</v>
      </c>
      <c r="V8">
        <v>-3.477473</v>
      </c>
      <c r="W8">
        <v>-2.851172</v>
      </c>
      <c r="X8">
        <v>751.72</v>
      </c>
      <c r="Y8">
        <v>438.573</v>
      </c>
      <c r="Z8">
        <v>751.72</v>
      </c>
      <c r="AA8">
        <v>218.2</v>
      </c>
      <c r="AB8">
        <v>48.9</v>
      </c>
      <c r="AC8">
        <v>167.6</v>
      </c>
      <c r="AD8">
        <v>68.1</v>
      </c>
      <c r="AE8">
        <v>194</v>
      </c>
      <c r="AJ8">
        <v>3.178</v>
      </c>
      <c r="AK8">
        <v>0.4567</v>
      </c>
      <c r="AL8">
        <v>16.29</v>
      </c>
      <c r="AM8">
        <v>-10.94</v>
      </c>
      <c r="AN8">
        <v>31.61</v>
      </c>
      <c r="AO8">
        <v>5096258.34</v>
      </c>
      <c r="AP8">
        <v>1018948750.5</v>
      </c>
      <c r="AQ8">
        <v>15870.66</v>
      </c>
      <c r="AR8" t="inlineStr">
        <is>
          <t xml:space="preserve">AVONET (Tobias et al. 2022)</t>
        </is>
      </c>
      <c r="AS8">
        <v>5.2826</v>
      </c>
      <c r="AT8" t="inlineStr">
        <is>
          <t xml:space="preserve">Bird et al. 2020, Table S4</t>
        </is>
      </c>
    </row>
    <row r="9">
      <c r="A9" t="inlineStr">
        <is>
          <t xml:space="preserve">4</t>
        </is>
      </c>
      <c r="B9" t="inlineStr">
        <is>
          <t xml:space="preserve">GALGAL-COTJAP-DV</t>
        </is>
      </c>
      <c r="C9" t="inlineStr">
        <is>
          <t xml:space="preserve">COTJAP</t>
        </is>
      </c>
      <c r="D9" t="inlineStr">
        <is>
          <t xml:space="preserve">greater flight capacity</t>
        </is>
      </c>
      <c r="E9" t="inlineStr">
        <is>
          <t xml:space="preserve">Coturnix japonica</t>
        </is>
      </c>
      <c r="G9" t="inlineStr">
        <is>
          <t xml:space="preserve">Galloanseres</t>
        </is>
      </c>
      <c r="H9" t="inlineStr">
        <is>
          <t xml:space="preserve">Galliformes</t>
        </is>
      </c>
      <c r="I9" t="inlineStr">
        <is>
          <t xml:space="preserve">Phasianidae</t>
        </is>
      </c>
      <c r="J9" t="inlineStr">
        <is>
          <t xml:space="preserve">toward limited flight</t>
        </is>
      </c>
      <c r="K9" t="inlineStr">
        <is>
          <t xml:space="preserve">sed.→migr.</t>
        </is>
      </c>
      <c r="L9" t="inlineStr">
        <is>
          <t xml:space="preserve">volant</t>
        </is>
      </c>
      <c r="M9" t="inlineStr">
        <is>
          <t xml:space="preserve">continuous flapping (CF)</t>
        </is>
      </c>
      <c r="O9" t="inlineStr">
        <is>
          <t xml:space="preserve">migratory</t>
        </is>
      </c>
      <c r="P9" t="inlineStr">
        <is>
          <t xml:space="preserve">short</t>
        </is>
      </c>
      <c r="Q9">
        <v>3</v>
      </c>
      <c r="R9" t="inlineStr">
        <is>
          <t xml:space="preserve">Terrestrial</t>
        </is>
      </c>
      <c r="S9" t="inlineStr">
        <is>
          <t xml:space="preserve">Grassland</t>
        </is>
      </c>
      <c r="T9">
        <v>39.352445</v>
      </c>
      <c r="U9">
        <v>25.448946</v>
      </c>
      <c r="V9">
        <v>-0.879</v>
      </c>
      <c r="W9">
        <v>-3.174276</v>
      </c>
      <c r="X9">
        <v>94.78</v>
      </c>
      <c r="Y9">
        <v>608.471</v>
      </c>
      <c r="Z9">
        <v>94.78</v>
      </c>
      <c r="AA9">
        <v>97</v>
      </c>
      <c r="AB9">
        <v>38</v>
      </c>
      <c r="AC9">
        <v>58.5</v>
      </c>
      <c r="AD9">
        <v>24.3</v>
      </c>
      <c r="AE9">
        <v>35.4</v>
      </c>
      <c r="AJ9">
        <v>3.0575</v>
      </c>
      <c r="AK9">
        <v>0.0073</v>
      </c>
      <c r="AL9">
        <v>49.71</v>
      </c>
      <c r="AM9">
        <v>26.61</v>
      </c>
      <c r="AN9">
        <v>57.36</v>
      </c>
      <c r="AO9">
        <v>3249717.59</v>
      </c>
      <c r="AP9">
        <v>900903251.9</v>
      </c>
      <c r="AQ9">
        <v>14604.09</v>
      </c>
      <c r="AR9" t="inlineStr">
        <is>
          <t xml:space="preserve">AVONET (Tobias et al. 2022)</t>
        </is>
      </c>
      <c r="AS9">
        <v>2.1668</v>
      </c>
      <c r="AT9" t="inlineStr">
        <is>
          <t xml:space="preserve">Bird et al. 2020, Table S4</t>
        </is>
      </c>
    </row>
    <row r="10">
      <c r="A10" t="inlineStr">
        <is>
          <t xml:space="preserve">5</t>
        </is>
      </c>
      <c r="B10" t="inlineStr">
        <is>
          <t xml:space="preserve">PODPOD-PODCRI-VV</t>
        </is>
      </c>
      <c r="C10" t="inlineStr">
        <is>
          <t xml:space="preserve">PODPOD</t>
        </is>
      </c>
      <c r="D10" t="inlineStr">
        <is>
          <t xml:space="preserve">lesser flight capacity</t>
        </is>
      </c>
      <c r="E10" t="inlineStr">
        <is>
          <t xml:space="preserve">Podilymbus podiceps</t>
        </is>
      </c>
      <c r="G10" t="inlineStr">
        <is>
          <t xml:space="preserve">Mirandornithes</t>
        </is>
      </c>
      <c r="H10" t="inlineStr">
        <is>
          <t xml:space="preserve">Podicipediformes</t>
        </is>
      </c>
      <c r="I10" t="inlineStr">
        <is>
          <t xml:space="preserve">Podicipedidae</t>
        </is>
      </c>
      <c r="J10" t="inlineStr">
        <is>
          <t xml:space="preserve">minimal</t>
        </is>
      </c>
      <c r="K10" t="inlineStr">
        <is>
          <t xml:space="preserve">N/A (migr.)</t>
        </is>
      </c>
      <c r="L10" t="inlineStr">
        <is>
          <t xml:space="preserve">volant</t>
        </is>
      </c>
      <c r="M10" t="inlineStr">
        <is>
          <t xml:space="preserve">continuous flapping (CF)</t>
        </is>
      </c>
      <c r="N10" t="inlineStr">
        <is>
          <t xml:space="preserve">foot-propelled</t>
        </is>
      </c>
      <c r="O10" t="inlineStr">
        <is>
          <t xml:space="preserve">migratory</t>
        </is>
      </c>
      <c r="P10" t="inlineStr">
        <is>
          <t xml:space="preserve">medium, partial</t>
        </is>
      </c>
      <c r="Q10">
        <v>2</v>
      </c>
      <c r="R10" t="inlineStr">
        <is>
          <t xml:space="preserve">Aquatic</t>
        </is>
      </c>
      <c r="S10" t="inlineStr">
        <is>
          <t xml:space="preserve">Wetland</t>
        </is>
      </c>
      <c r="T10">
        <v>34.005145</v>
      </c>
      <c r="U10">
        <v>34.005145</v>
      </c>
      <c r="V10">
        <v>-2.494342</v>
      </c>
      <c r="W10">
        <v>-2.494342</v>
      </c>
      <c r="X10">
        <v>411.93</v>
      </c>
      <c r="Y10">
        <v>411.93</v>
      </c>
      <c r="Z10">
        <v>411.93</v>
      </c>
      <c r="AA10">
        <v>125.6</v>
      </c>
      <c r="AB10">
        <v>41.8</v>
      </c>
      <c r="AC10">
        <v>81.1</v>
      </c>
      <c r="AD10">
        <v>37.1</v>
      </c>
      <c r="AE10">
        <v>32.6</v>
      </c>
      <c r="AJ10">
        <v>2.8262</v>
      </c>
      <c r="AK10">
        <v>0.9598</v>
      </c>
      <c r="AL10">
        <v>21.61</v>
      </c>
      <c r="AM10">
        <v>-51.63</v>
      </c>
      <c r="AN10">
        <v>62.3</v>
      </c>
      <c r="AO10">
        <v>21361785.48</v>
      </c>
      <c r="AP10">
        <v>1197335880.5</v>
      </c>
      <c r="AQ10">
        <v>15893.77</v>
      </c>
      <c r="AR10" t="inlineStr">
        <is>
          <t xml:space="preserve">AVONET (Tobias et al. 2022)</t>
        </is>
      </c>
      <c r="AS10">
        <v>3.4283</v>
      </c>
      <c r="AT10" t="inlineStr">
        <is>
          <t xml:space="preserve">Bird et al. 2020, Table S4</t>
        </is>
      </c>
    </row>
    <row r="11">
      <c r="A11" t="inlineStr">
        <is>
          <t xml:space="preserve">5</t>
        </is>
      </c>
      <c r="B11" t="inlineStr">
        <is>
          <t xml:space="preserve">PODPOD-PODCRI-VV</t>
        </is>
      </c>
      <c r="C11" t="inlineStr">
        <is>
          <t xml:space="preserve">PODCRI</t>
        </is>
      </c>
      <c r="D11" t="inlineStr">
        <is>
          <t xml:space="preserve">greater flight capacity</t>
        </is>
      </c>
      <c r="E11" t="inlineStr">
        <is>
          <t xml:space="preserve">Podiceps cristatus</t>
        </is>
      </c>
      <c r="G11" t="inlineStr">
        <is>
          <t xml:space="preserve">Mirandornithes</t>
        </is>
      </c>
      <c r="H11" t="inlineStr">
        <is>
          <t xml:space="preserve">Podicipediformes</t>
        </is>
      </c>
      <c r="I11" t="inlineStr">
        <is>
          <t xml:space="preserve">Podicipedidae</t>
        </is>
      </c>
      <c r="J11" t="inlineStr">
        <is>
          <t xml:space="preserve">minimal</t>
        </is>
      </c>
      <c r="K11" t="inlineStr">
        <is>
          <t xml:space="preserve">N/A (migr.)</t>
        </is>
      </c>
      <c r="L11" t="inlineStr">
        <is>
          <t xml:space="preserve">volant</t>
        </is>
      </c>
      <c r="M11" t="inlineStr">
        <is>
          <t xml:space="preserve">continuous flapping (CF)</t>
        </is>
      </c>
      <c r="N11" t="inlineStr">
        <is>
          <t xml:space="preserve">foot-propelled</t>
        </is>
      </c>
      <c r="O11" t="inlineStr">
        <is>
          <t xml:space="preserve">migratory</t>
        </is>
      </c>
      <c r="P11" t="inlineStr">
        <is>
          <t xml:space="preserve">short–medium, partial</t>
        </is>
      </c>
      <c r="Q11">
        <v>1</v>
      </c>
      <c r="R11" t="inlineStr">
        <is>
          <t xml:space="preserve">Aquatic</t>
        </is>
      </c>
      <c r="S11" t="inlineStr">
        <is>
          <t xml:space="preserve">Wetland</t>
        </is>
      </c>
      <c r="T11">
        <v>43.840207</v>
      </c>
      <c r="U11">
        <v>37.041504</v>
      </c>
      <c r="V11">
        <v>-2.813807</v>
      </c>
      <c r="W11">
        <v>-2.708265</v>
      </c>
      <c r="X11">
        <v>730.96</v>
      </c>
      <c r="Y11">
        <v>555.742</v>
      </c>
      <c r="Z11">
        <v>730.96</v>
      </c>
      <c r="AA11">
        <v>183.6</v>
      </c>
      <c r="AB11">
        <v>79</v>
      </c>
      <c r="AC11">
        <v>105.4</v>
      </c>
      <c r="AD11">
        <v>60.9</v>
      </c>
      <c r="AE11">
        <v>40.7</v>
      </c>
      <c r="AJ11">
        <v>3.0146</v>
      </c>
      <c r="AK11">
        <v>0.774</v>
      </c>
      <c r="AL11">
        <v>44.79</v>
      </c>
      <c r="AM11">
        <v>-46.18</v>
      </c>
      <c r="AN11">
        <v>66.14</v>
      </c>
      <c r="AO11">
        <v>19812770.45</v>
      </c>
      <c r="AP11">
        <v>1171360458.5</v>
      </c>
      <c r="AQ11">
        <v>14646.75</v>
      </c>
      <c r="AR11" t="inlineStr">
        <is>
          <t xml:space="preserve">AVONET (Tobias et al. 2022)</t>
        </is>
      </c>
      <c r="AS11">
        <v>5.4486</v>
      </c>
      <c r="AT11" t="inlineStr">
        <is>
          <t xml:space="preserve">Bird et al. 2020, Table S4</t>
        </is>
      </c>
    </row>
    <row r="12">
      <c r="A12" t="inlineStr">
        <is>
          <t xml:space="preserve">6</t>
        </is>
      </c>
      <c r="B12" t="inlineStr">
        <is>
          <t xml:space="preserve">TAUERY-CORCON-VV</t>
        </is>
      </c>
      <c r="C12" t="inlineStr">
        <is>
          <t xml:space="preserve">TAUERY</t>
        </is>
      </c>
      <c r="D12" t="inlineStr">
        <is>
          <t xml:space="preserve">lesser flight capacity</t>
        </is>
      </c>
      <c r="E12" t="inlineStr">
        <is>
          <t xml:space="preserve">Tauraco erythrolophus</t>
        </is>
      </c>
      <c r="G12" t="inlineStr">
        <is>
          <t xml:space="preserve">Columbaves: Otidimorphae</t>
        </is>
      </c>
      <c r="H12" t="inlineStr">
        <is>
          <t xml:space="preserve">Musophagiformes</t>
        </is>
      </c>
      <c r="I12" t="inlineStr">
        <is>
          <t xml:space="preserve">Musophagidae</t>
        </is>
      </c>
      <c r="J12" t="inlineStr">
        <is>
          <t xml:space="preserve">minimal</t>
        </is>
      </c>
      <c r="K12" t="inlineStr">
        <is>
          <t xml:space="preserve">N/A (sed.)</t>
        </is>
      </c>
      <c r="L12" t="inlineStr">
        <is>
          <t xml:space="preserve">volant</t>
        </is>
      </c>
      <c r="M12" t="inlineStr">
        <is>
          <t xml:space="preserve">flap-gliding (FG)</t>
        </is>
      </c>
      <c r="O12" t="inlineStr">
        <is>
          <t xml:space="preserve">sedentary</t>
        </is>
      </c>
      <c r="Q12">
        <v>1</v>
      </c>
      <c r="R12" t="inlineStr">
        <is>
          <t xml:space="preserve">Insessorial</t>
        </is>
      </c>
      <c r="S12" t="inlineStr">
        <is>
          <t xml:space="preserve">Forest</t>
        </is>
      </c>
      <c r="T12">
        <v>10.35279</v>
      </c>
      <c r="U12">
        <v>10.305217</v>
      </c>
      <c r="V12">
        <v>-3.228183</v>
      </c>
      <c r="W12">
        <v>-3.240347</v>
      </c>
      <c r="X12">
        <v>261.24</v>
      </c>
      <c r="Y12">
        <v>263.222</v>
      </c>
      <c r="Z12">
        <v>261.24</v>
      </c>
      <c r="AA12">
        <v>170</v>
      </c>
      <c r="AB12">
        <v>17.6</v>
      </c>
      <c r="AC12">
        <v>152.9</v>
      </c>
      <c r="AD12">
        <v>38.8</v>
      </c>
      <c r="AE12">
        <v>196.3</v>
      </c>
      <c r="AJ12">
        <v>3.2807</v>
      </c>
      <c r="AK12">
        <v>-0.101</v>
      </c>
      <c r="AL12">
        <v>-9.28</v>
      </c>
      <c r="AM12">
        <v>-14.79</v>
      </c>
      <c r="AN12">
        <v>-6.21</v>
      </c>
      <c r="AO12">
        <v>189792.61</v>
      </c>
      <c r="AP12">
        <v>1190974462.6</v>
      </c>
      <c r="AQ12">
        <v>15242.1</v>
      </c>
      <c r="AR12" t="inlineStr">
        <is>
          <t xml:space="preserve">AVONET (Tobias et al. 2022)</t>
        </is>
      </c>
      <c r="AS12">
        <v>4.7872</v>
      </c>
      <c r="AT12" t="inlineStr">
        <is>
          <t xml:space="preserve">Bird et al. 2020, Table S4</t>
        </is>
      </c>
    </row>
    <row r="13">
      <c r="A13" t="inlineStr">
        <is>
          <t xml:space="preserve">6</t>
        </is>
      </c>
      <c r="B13" t="inlineStr">
        <is>
          <t xml:space="preserve">TAUERY-CORCON-VV</t>
        </is>
      </c>
      <c r="C13" t="inlineStr">
        <is>
          <t xml:space="preserve">CORCON</t>
        </is>
      </c>
      <c r="D13" t="inlineStr">
        <is>
          <t xml:space="preserve">greater flight capacity</t>
        </is>
      </c>
      <c r="E13" t="inlineStr">
        <is>
          <t xml:space="preserve">Crinifer concolor</t>
        </is>
      </c>
      <c r="F13" t="inlineStr">
        <is>
          <t xml:space="preserve">Corythaixoides concolor</t>
        </is>
      </c>
      <c r="G13" t="inlineStr">
        <is>
          <t xml:space="preserve">Columbaves: Otidimorphae</t>
        </is>
      </c>
      <c r="H13" t="inlineStr">
        <is>
          <t xml:space="preserve">Musophagiformes</t>
        </is>
      </c>
      <c r="I13" t="inlineStr">
        <is>
          <t xml:space="preserve">Musophagidae</t>
        </is>
      </c>
      <c r="J13" t="inlineStr">
        <is>
          <t xml:space="preserve">minimal</t>
        </is>
      </c>
      <c r="K13" t="inlineStr">
        <is>
          <t xml:space="preserve">N/A (sed.)</t>
        </is>
      </c>
      <c r="L13" t="inlineStr">
        <is>
          <t xml:space="preserve">volant</t>
        </is>
      </c>
      <c r="M13" t="inlineStr">
        <is>
          <t xml:space="preserve">flap-gliding (FG)</t>
        </is>
      </c>
      <c r="O13" t="inlineStr">
        <is>
          <t xml:space="preserve">sedentary</t>
        </is>
      </c>
      <c r="Q13">
        <v>1</v>
      </c>
      <c r="R13" t="inlineStr">
        <is>
          <t xml:space="preserve">Insessorial</t>
        </is>
      </c>
      <c r="S13" t="inlineStr">
        <is>
          <t xml:space="preserve">Grassland</t>
        </is>
      </c>
      <c r="T13">
        <v>18.324749</v>
      </c>
      <c r="U13">
        <v>17.21448</v>
      </c>
      <c r="V13">
        <v>-3.963865</v>
      </c>
      <c r="W13">
        <v>-3.220415</v>
      </c>
      <c r="X13">
        <v>964.99</v>
      </c>
      <c r="Y13">
        <v>431.025</v>
      </c>
      <c r="Z13">
        <v>258</v>
      </c>
      <c r="AA13">
        <v>215.4</v>
      </c>
      <c r="AB13">
        <v>39.8</v>
      </c>
      <c r="AC13">
        <v>177.2</v>
      </c>
      <c r="AD13">
        <v>39.5</v>
      </c>
      <c r="AE13">
        <v>241</v>
      </c>
      <c r="AJ13">
        <v>3.5215</v>
      </c>
      <c r="AK13">
        <v>-0.5869</v>
      </c>
      <c r="AL13">
        <v>-17.21</v>
      </c>
      <c r="AM13">
        <v>-29.07</v>
      </c>
      <c r="AN13">
        <v>-6.29</v>
      </c>
      <c r="AO13">
        <v>3808237.76</v>
      </c>
      <c r="AP13">
        <v>1184047588.3</v>
      </c>
      <c r="AQ13">
        <v>15737.45</v>
      </c>
      <c r="AR13" t="inlineStr">
        <is>
          <t xml:space="preserve">AVONET (Tobias et al. 2022)</t>
        </is>
      </c>
      <c r="AS13">
        <v>4.1856</v>
      </c>
      <c r="AT13" t="inlineStr">
        <is>
          <t xml:space="preserve">Bird et al. 2020, Table S4</t>
        </is>
      </c>
    </row>
    <row r="14">
      <c r="A14" t="inlineStr">
        <is>
          <t xml:space="preserve">7</t>
        </is>
      </c>
      <c r="B14" t="inlineStr">
        <is>
          <t xml:space="preserve">LOPRUF-CHLMAC-SM</t>
        </is>
      </c>
      <c r="C14" t="inlineStr">
        <is>
          <t xml:space="preserve">LOPRUF</t>
        </is>
      </c>
      <c r="D14" t="inlineStr">
        <is>
          <t xml:space="preserve">lesser flight capacity</t>
        </is>
      </c>
      <c r="E14" t="inlineStr">
        <is>
          <t xml:space="preserve">Lophotis ruficrista</t>
        </is>
      </c>
      <c r="G14" t="inlineStr">
        <is>
          <t xml:space="preserve">Columbaves: Otidimorphae</t>
        </is>
      </c>
      <c r="H14" t="inlineStr">
        <is>
          <t xml:space="preserve">Otidiformes</t>
        </is>
      </c>
      <c r="I14" t="inlineStr">
        <is>
          <t xml:space="preserve">Otididae</t>
        </is>
      </c>
      <c r="J14" t="inlineStr">
        <is>
          <t xml:space="preserve">to migratory</t>
        </is>
      </c>
      <c r="K14" t="inlineStr">
        <is>
          <t xml:space="preserve">sed.→migr.</t>
        </is>
      </c>
      <c r="L14" t="inlineStr">
        <is>
          <t xml:space="preserve">volant</t>
        </is>
      </c>
      <c r="M14" t="inlineStr">
        <is>
          <t xml:space="preserve">continuous flapping (CF)</t>
        </is>
      </c>
      <c r="O14" t="inlineStr">
        <is>
          <t xml:space="preserve">sedentary</t>
        </is>
      </c>
      <c r="Q14">
        <v>1</v>
      </c>
      <c r="R14" t="inlineStr">
        <is>
          <t xml:space="preserve">Terrestrial</t>
        </is>
      </c>
      <c r="S14" t="inlineStr">
        <is>
          <t xml:space="preserve">Shrubland</t>
        </is>
      </c>
      <c r="T14">
        <v>37.460306</v>
      </c>
      <c r="U14">
        <v>37.561116</v>
      </c>
      <c r="V14">
        <v>-2.944936</v>
      </c>
      <c r="W14">
        <v>-3.258725</v>
      </c>
      <c r="X14">
        <v>712.1</v>
      </c>
      <c r="Y14">
        <v>977.203</v>
      </c>
      <c r="Z14">
        <v>712.1</v>
      </c>
      <c r="AA14">
        <v>261.2</v>
      </c>
      <c r="AB14">
        <v>96.5</v>
      </c>
      <c r="AC14">
        <v>161.2</v>
      </c>
      <c r="AD14">
        <v>84.5</v>
      </c>
      <c r="AE14">
        <v>143</v>
      </c>
      <c r="AJ14">
        <v>3.3759</v>
      </c>
      <c r="AK14">
        <v>0.0428</v>
      </c>
      <c r="AL14">
        <v>-20.84</v>
      </c>
      <c r="AM14">
        <v>-28.6</v>
      </c>
      <c r="AN14">
        <v>-11.59</v>
      </c>
      <c r="AO14">
        <v>2013859.39</v>
      </c>
      <c r="AP14">
        <v>1111532059.6</v>
      </c>
      <c r="AQ14">
        <v>15523.3</v>
      </c>
      <c r="AR14" t="inlineStr">
        <is>
          <t xml:space="preserve">AVONET (Tobias et al. 2022)</t>
        </is>
      </c>
      <c r="AS14">
        <v>7.6027</v>
      </c>
      <c r="AT14" t="inlineStr">
        <is>
          <t xml:space="preserve">Bird et al. 2020, Table S4</t>
        </is>
      </c>
    </row>
    <row r="15">
      <c r="A15" t="inlineStr">
        <is>
          <t xml:space="preserve">7</t>
        </is>
      </c>
      <c r="B15" t="inlineStr">
        <is>
          <t xml:space="preserve">LOPRUF-CHLMAC-SM</t>
        </is>
      </c>
      <c r="C15" t="inlineStr">
        <is>
          <t xml:space="preserve">CHLMAC</t>
        </is>
      </c>
      <c r="D15" t="inlineStr">
        <is>
          <t xml:space="preserve">greater flight capacity</t>
        </is>
      </c>
      <c r="E15" t="inlineStr">
        <is>
          <t xml:space="preserve">Chlamydotis macqueenii†</t>
        </is>
      </c>
      <c r="G15" t="inlineStr">
        <is>
          <t xml:space="preserve">Columbaves: Otidimorphae</t>
        </is>
      </c>
      <c r="H15" t="inlineStr">
        <is>
          <t xml:space="preserve">Otidiformes</t>
        </is>
      </c>
      <c r="I15" t="inlineStr">
        <is>
          <t xml:space="preserve">Otididae</t>
        </is>
      </c>
      <c r="J15" t="inlineStr">
        <is>
          <t xml:space="preserve">to migratory</t>
        </is>
      </c>
      <c r="K15" t="inlineStr">
        <is>
          <t xml:space="preserve">sed.→migr.</t>
        </is>
      </c>
      <c r="L15" t="inlineStr">
        <is>
          <t xml:space="preserve">volant</t>
        </is>
      </c>
      <c r="M15" t="inlineStr">
        <is>
          <t xml:space="preserve">continuous flapping (CF)</t>
        </is>
      </c>
      <c r="O15" t="inlineStr">
        <is>
          <t xml:space="preserve">migratory</t>
        </is>
      </c>
      <c r="P15" t="inlineStr">
        <is>
          <t xml:space="preserve">short–medium, partial</t>
        </is>
      </c>
      <c r="Q15">
        <v>1</v>
      </c>
      <c r="R15" t="inlineStr">
        <is>
          <t xml:space="preserve">Terrestrial</t>
        </is>
      </c>
      <c r="S15" t="inlineStr">
        <is>
          <t xml:space="preserve">Desert</t>
        </is>
      </c>
      <c r="T15">
        <v>43.322806</v>
      </c>
      <c r="U15">
        <v>42.345059</v>
      </c>
      <c r="V15">
        <v>-3.545427</v>
      </c>
      <c r="W15">
        <v>-4.580332</v>
      </c>
      <c r="X15">
        <v>1501.33</v>
      </c>
      <c r="Y15">
        <v>4130.625</v>
      </c>
      <c r="Z15">
        <v>1501.33</v>
      </c>
      <c r="AA15">
        <v>383.4</v>
      </c>
      <c r="AB15">
        <v>163.8</v>
      </c>
      <c r="AC15">
        <v>214.4</v>
      </c>
      <c r="AD15">
        <v>89.5</v>
      </c>
      <c r="AE15">
        <v>194.9</v>
      </c>
      <c r="AJ15">
        <v>3.511</v>
      </c>
      <c r="AK15">
        <v>0.0211</v>
      </c>
      <c r="AL15">
        <v>40.12</v>
      </c>
      <c r="AM15">
        <v>15.45</v>
      </c>
      <c r="AN15">
        <v>50.76</v>
      </c>
      <c r="AO15">
        <v>4341405.59</v>
      </c>
      <c r="AP15">
        <v>1112078069.6</v>
      </c>
      <c r="AQ15">
        <v>14761.85</v>
      </c>
      <c r="AR15" t="inlineStr">
        <is>
          <t xml:space="preserve">AVONET (Tobias et al. 2022)</t>
        </is>
      </c>
      <c r="AS15">
        <v>5.3958</v>
      </c>
      <c r="AT15" t="inlineStr">
        <is>
          <t xml:space="preserve">Bird et al. 2020, Table S4</t>
        </is>
      </c>
    </row>
    <row r="16">
      <c r="A16" t="inlineStr">
        <is>
          <t xml:space="preserve">8</t>
        </is>
      </c>
      <c r="B16" t="inlineStr">
        <is>
          <t xml:space="preserve">GEOCAL-CROSUL-DV</t>
        </is>
      </c>
      <c r="C16" t="inlineStr">
        <is>
          <t xml:space="preserve">GEOCAL</t>
        </is>
      </c>
      <c r="D16" t="inlineStr">
        <is>
          <t xml:space="preserve">lesser flight capacity</t>
        </is>
      </c>
      <c r="E16" t="inlineStr">
        <is>
          <t xml:space="preserve">Geococcyx californianus</t>
        </is>
      </c>
      <c r="G16" t="inlineStr">
        <is>
          <t xml:space="preserve">Columbaves: Otidimorphae</t>
        </is>
      </c>
      <c r="H16" t="inlineStr">
        <is>
          <t xml:space="preserve">Cuculiformes</t>
        </is>
      </c>
      <c r="I16" t="inlineStr">
        <is>
          <t xml:space="preserve">Cuculidae</t>
        </is>
      </c>
      <c r="J16" t="inlineStr">
        <is>
          <t xml:space="preserve">toward limited flight</t>
        </is>
      </c>
      <c r="K16" t="inlineStr">
        <is>
          <t xml:space="preserve">N/A (sed.)</t>
        </is>
      </c>
      <c r="L16" t="inlineStr">
        <is>
          <t xml:space="preserve">limited</t>
        </is>
      </c>
      <c r="M16" t="inlineStr">
        <is>
          <t xml:space="preserve">limited flight (LF)</t>
        </is>
      </c>
      <c r="O16" t="inlineStr">
        <is>
          <t xml:space="preserve">sedentary</t>
        </is>
      </c>
      <c r="Q16">
        <v>1</v>
      </c>
      <c r="R16" t="inlineStr">
        <is>
          <t xml:space="preserve">Terrestrial</t>
        </is>
      </c>
      <c r="S16" t="inlineStr">
        <is>
          <t xml:space="preserve">Shrubland</t>
        </is>
      </c>
      <c r="T16">
        <v>6.475187</v>
      </c>
      <c r="U16">
        <v>23.221053</v>
      </c>
      <c r="V16">
        <v>-4.061612</v>
      </c>
      <c r="W16">
        <v>-2.32665</v>
      </c>
      <c r="X16">
        <v>376</v>
      </c>
      <c r="Y16">
        <v>237.866</v>
      </c>
      <c r="Z16">
        <v>376</v>
      </c>
      <c r="AA16">
        <v>181</v>
      </c>
      <c r="AB16">
        <v>12</v>
      </c>
      <c r="AC16">
        <v>172</v>
      </c>
      <c r="AD16">
        <v>59.5</v>
      </c>
      <c r="AE16">
        <v>287.4</v>
      </c>
      <c r="AJ16">
        <v>3.222</v>
      </c>
      <c r="AK16">
        <v>0.1378</v>
      </c>
      <c r="AL16">
        <v>30.77</v>
      </c>
      <c r="AM16">
        <v>18.36</v>
      </c>
      <c r="AN16">
        <v>40.65</v>
      </c>
      <c r="AO16">
        <v>3008009.53</v>
      </c>
      <c r="AP16">
        <v>1234179044.9</v>
      </c>
      <c r="AQ16">
        <v>15991.55</v>
      </c>
      <c r="AR16" t="inlineStr">
        <is>
          <t xml:space="preserve">AVONET (Tobias et al. 2022)</t>
        </is>
      </c>
      <c r="AS16">
        <v>3.2167</v>
      </c>
      <c r="AT16" t="inlineStr">
        <is>
          <t xml:space="preserve">Bird et al. 2020, Table S4</t>
        </is>
      </c>
    </row>
    <row r="17">
      <c r="A17" t="inlineStr">
        <is>
          <t xml:space="preserve">8</t>
        </is>
      </c>
      <c r="B17" t="inlineStr">
        <is>
          <t xml:space="preserve">GEOCAL-CROSUL-DV</t>
        </is>
      </c>
      <c r="C17" t="inlineStr">
        <is>
          <t xml:space="preserve">CROSUL</t>
        </is>
      </c>
      <c r="D17" t="inlineStr">
        <is>
          <t xml:space="preserve">greater flight capacity</t>
        </is>
      </c>
      <c r="E17" t="inlineStr">
        <is>
          <t xml:space="preserve">Crotophaga sulcirostris</t>
        </is>
      </c>
      <c r="G17" t="inlineStr">
        <is>
          <t xml:space="preserve">Columbaves: Otidimorphae</t>
        </is>
      </c>
      <c r="H17" t="inlineStr">
        <is>
          <t xml:space="preserve">Cuculiformes</t>
        </is>
      </c>
      <c r="I17" t="inlineStr">
        <is>
          <t xml:space="preserve">Cuculidae</t>
        </is>
      </c>
      <c r="J17" t="inlineStr">
        <is>
          <t xml:space="preserve">toward limited flight</t>
        </is>
      </c>
      <c r="K17" t="inlineStr">
        <is>
          <t xml:space="preserve">N/A (sed.)</t>
        </is>
      </c>
      <c r="L17" t="inlineStr">
        <is>
          <t xml:space="preserve">volant</t>
        </is>
      </c>
      <c r="M17" t="inlineStr">
        <is>
          <t xml:space="preserve">flap-gliding (FG)</t>
        </is>
      </c>
      <c r="O17" t="inlineStr">
        <is>
          <t xml:space="preserve">sedentary</t>
        </is>
      </c>
      <c r="P17" t="inlineStr">
        <is>
          <t xml:space="preserve">(restr. short dispersive)</t>
        </is>
      </c>
      <c r="Q17">
        <v>1</v>
      </c>
      <c r="R17" t="inlineStr">
        <is>
          <t xml:space="preserve">Terrestrial</t>
        </is>
      </c>
      <c r="S17" t="inlineStr">
        <is>
          <t xml:space="preserve">Human Modified</t>
        </is>
      </c>
      <c r="T17">
        <v>19.318631</v>
      </c>
      <c r="U17">
        <v>10.928605</v>
      </c>
      <c r="V17">
        <v>-1.446137</v>
      </c>
      <c r="W17">
        <v>-2.398979</v>
      </c>
      <c r="X17">
        <v>82.04</v>
      </c>
      <c r="Y17">
        <v>120.345</v>
      </c>
      <c r="Z17">
        <v>82.04</v>
      </c>
      <c r="AA17">
        <v>129.3</v>
      </c>
      <c r="AB17">
        <v>24.8</v>
      </c>
      <c r="AC17">
        <v>103</v>
      </c>
      <c r="AD17">
        <v>33.8</v>
      </c>
      <c r="AE17">
        <v>162.7</v>
      </c>
      <c r="AJ17">
        <v>3.3931</v>
      </c>
      <c r="AK17">
        <v>-0.7119</v>
      </c>
      <c r="AL17">
        <v>12.58</v>
      </c>
      <c r="AM17">
        <v>-23.6</v>
      </c>
      <c r="AN17">
        <v>30.19</v>
      </c>
      <c r="AO17">
        <v>2696933.46</v>
      </c>
      <c r="AP17">
        <v>1072941785.2</v>
      </c>
      <c r="AQ17">
        <v>15079.66</v>
      </c>
      <c r="AR17" t="inlineStr">
        <is>
          <t xml:space="preserve">AVONET (Tobias et al. 2022)</t>
        </is>
      </c>
      <c r="AS17">
        <v>3.1924</v>
      </c>
      <c r="AT17" t="inlineStr">
        <is>
          <t xml:space="preserve">Bird et al. 2020, Table S4</t>
        </is>
      </c>
    </row>
    <row r="18">
      <c r="A18" t="inlineStr">
        <is>
          <t xml:space="preserve">9 (vii)</t>
        </is>
      </c>
      <c r="B18" t="inlineStr">
        <is>
          <t xml:space="preserve">CEUAER-CUCCAN-SM</t>
        </is>
      </c>
      <c r="C18" t="inlineStr">
        <is>
          <t xml:space="preserve">CEUAER</t>
        </is>
      </c>
      <c r="D18" t="inlineStr">
        <is>
          <t xml:space="preserve">lesser flight capacity</t>
        </is>
      </c>
      <c r="E18" t="inlineStr">
        <is>
          <t xml:space="preserve">Ceuthmochares aereus</t>
        </is>
      </c>
      <c r="G18" t="inlineStr">
        <is>
          <t xml:space="preserve">Columbaves: Otidimorphae</t>
        </is>
      </c>
      <c r="H18" t="inlineStr">
        <is>
          <t xml:space="preserve">Cuculiformes</t>
        </is>
      </c>
      <c r="I18" t="inlineStr">
        <is>
          <t xml:space="preserve">Cuculidae</t>
        </is>
      </c>
      <c r="J18" t="inlineStr">
        <is>
          <t xml:space="preserve">to migratory</t>
        </is>
      </c>
      <c r="K18" t="inlineStr">
        <is>
          <t xml:space="preserve">sed.→migr.</t>
        </is>
      </c>
      <c r="L18" t="inlineStr">
        <is>
          <t xml:space="preserve">volant</t>
        </is>
      </c>
      <c r="M18" t="inlineStr">
        <is>
          <t xml:space="preserve">flap-gliding (FG)</t>
        </is>
      </c>
      <c r="O18" t="inlineStr">
        <is>
          <t xml:space="preserve">sedentary</t>
        </is>
      </c>
      <c r="Q18">
        <v>1</v>
      </c>
      <c r="R18" t="inlineStr">
        <is>
          <t xml:space="preserve">Insessorial</t>
        </is>
      </c>
      <c r="S18" t="inlineStr">
        <is>
          <t xml:space="preserve">Forest</t>
        </is>
      </c>
      <c r="T18">
        <v>13.402205</v>
      </c>
      <c r="U18">
        <v>19.369522</v>
      </c>
      <c r="V18">
        <v>-1.591201</v>
      </c>
      <c r="W18">
        <v>-1.582774</v>
      </c>
      <c r="X18">
        <v>65.8</v>
      </c>
      <c r="Y18">
        <v>94.299</v>
      </c>
      <c r="Z18">
        <v>65.8</v>
      </c>
      <c r="AA18">
        <v>117.2</v>
      </c>
      <c r="AB18">
        <v>15.8</v>
      </c>
      <c r="AC18">
        <v>102.4</v>
      </c>
      <c r="AD18">
        <v>27.6</v>
      </c>
      <c r="AE18">
        <v>185.3</v>
      </c>
      <c r="AJ18">
        <v>3.3683</v>
      </c>
      <c r="AK18">
        <v>-0.736</v>
      </c>
      <c r="AL18">
        <v>-0.57</v>
      </c>
      <c r="AM18">
        <v>-11.09</v>
      </c>
      <c r="AN18">
        <v>13.49</v>
      </c>
      <c r="AO18">
        <v>4005421.1</v>
      </c>
      <c r="AP18">
        <v>1129445982.9</v>
      </c>
      <c r="AQ18">
        <v>14258.73</v>
      </c>
      <c r="AR18" t="inlineStr">
        <is>
          <t xml:space="preserve">AVONET (Tobias et al. 2022)</t>
        </is>
      </c>
      <c r="AS18">
        <v>3.3741</v>
      </c>
      <c r="AT18" t="inlineStr">
        <is>
          <t xml:space="preserve">Bird et al. 2020, Table S4</t>
        </is>
      </c>
    </row>
    <row r="19">
      <c r="A19" t="inlineStr">
        <is>
          <t xml:space="preserve">9 (vii)</t>
        </is>
      </c>
      <c r="B19" t="inlineStr">
        <is>
          <t xml:space="preserve">CEUAER-CUCCAN-SM</t>
        </is>
      </c>
      <c r="C19" t="inlineStr">
        <is>
          <t xml:space="preserve">CUCCAN</t>
        </is>
      </c>
      <c r="D19" t="inlineStr">
        <is>
          <t xml:space="preserve">greater flight capacity</t>
        </is>
      </c>
      <c r="E19" t="inlineStr">
        <is>
          <t xml:space="preserve">Cuculus canorus</t>
        </is>
      </c>
      <c r="G19" t="inlineStr">
        <is>
          <t xml:space="preserve">Columbaves: Otidimorphae</t>
        </is>
      </c>
      <c r="H19" t="inlineStr">
        <is>
          <t xml:space="preserve">Cuculiformes</t>
        </is>
      </c>
      <c r="I19" t="inlineStr">
        <is>
          <t xml:space="preserve">Cuculidae</t>
        </is>
      </c>
      <c r="J19" t="inlineStr">
        <is>
          <t xml:space="preserve">to migratory</t>
        </is>
      </c>
      <c r="K19" t="inlineStr">
        <is>
          <t xml:space="preserve">sed.→migr.</t>
        </is>
      </c>
      <c r="L19" t="inlineStr">
        <is>
          <t xml:space="preserve">volant</t>
        </is>
      </c>
      <c r="M19" t="inlineStr">
        <is>
          <t xml:space="preserve">continuous flapping (CF)</t>
        </is>
      </c>
      <c r="O19" t="inlineStr">
        <is>
          <t xml:space="preserve">migratory</t>
        </is>
      </c>
      <c r="P19" t="inlineStr">
        <is>
          <t xml:space="preserve">long</t>
        </is>
      </c>
      <c r="Q19">
        <v>3</v>
      </c>
      <c r="R19" t="inlineStr">
        <is>
          <t xml:space="preserve">Insessorial</t>
        </is>
      </c>
      <c r="S19" t="inlineStr">
        <is>
          <t xml:space="preserve">Forest</t>
        </is>
      </c>
      <c r="T19">
        <v>49.201627</v>
      </c>
      <c r="U19">
        <v>36.479997</v>
      </c>
      <c r="V19">
        <v>-0.816842</v>
      </c>
      <c r="W19">
        <v>-0.73247</v>
      </c>
      <c r="X19">
        <v>111.36</v>
      </c>
      <c r="Y19">
        <v>75.886</v>
      </c>
      <c r="Z19">
        <v>111.36</v>
      </c>
      <c r="AA19">
        <v>192</v>
      </c>
      <c r="AB19">
        <v>84.6</v>
      </c>
      <c r="AC19">
        <v>105.9</v>
      </c>
      <c r="AD19">
        <v>21.4</v>
      </c>
      <c r="AE19">
        <v>158.1</v>
      </c>
      <c r="AJ19">
        <v>3.6866</v>
      </c>
      <c r="AK19">
        <v>-1.1971</v>
      </c>
      <c r="AL19">
        <v>49.44</v>
      </c>
      <c r="AM19">
        <v>17.49</v>
      </c>
      <c r="AN19">
        <v>71.25</v>
      </c>
      <c r="AO19">
        <v>37338142.79</v>
      </c>
      <c r="AP19">
        <v>1150976505.9</v>
      </c>
      <c r="AQ19">
        <v>14981.04</v>
      </c>
      <c r="AR19" t="inlineStr">
        <is>
          <t xml:space="preserve">AVONET (Tobias et al. 2022)</t>
        </is>
      </c>
      <c r="AS19">
        <v>2.7565</v>
      </c>
      <c r="AT19" t="inlineStr">
        <is>
          <t xml:space="preserve">Bird et al. 2020, Table S4</t>
        </is>
      </c>
    </row>
    <row r="20">
      <c r="A20" t="inlineStr">
        <is>
          <t xml:space="preserve">10</t>
        </is>
      </c>
      <c r="B20" t="inlineStr">
        <is>
          <t xml:space="preserve">MESUNI-PTEGUT-DV</t>
        </is>
      </c>
      <c r="C20" t="inlineStr">
        <is>
          <t xml:space="preserve">MESUNI</t>
        </is>
      </c>
      <c r="D20" t="inlineStr">
        <is>
          <t xml:space="preserve">lesser flight capacity</t>
        </is>
      </c>
      <c r="E20" t="inlineStr">
        <is>
          <t xml:space="preserve">Mesitornis unicolor</t>
        </is>
      </c>
      <c r="G20" t="inlineStr">
        <is>
          <t xml:space="preserve">Columbaves: Columbimorphae</t>
        </is>
      </c>
      <c r="J20" t="inlineStr">
        <is>
          <t xml:space="preserve">toward flight loss</t>
        </is>
      </c>
      <c r="K20" t="inlineStr">
        <is>
          <t xml:space="preserve">sed.→migr.</t>
        </is>
      </c>
      <c r="L20" t="inlineStr">
        <is>
          <t xml:space="preserve">near lost</t>
        </is>
      </c>
      <c r="M20" t="inlineStr">
        <is>
          <t xml:space="preserve">limited flight (LF)</t>
        </is>
      </c>
      <c r="O20" t="inlineStr">
        <is>
          <t xml:space="preserve">sedentary</t>
        </is>
      </c>
      <c r="Q20">
        <v>1</v>
      </c>
      <c r="R20" t="inlineStr">
        <is>
          <t xml:space="preserve">Terrestrial</t>
        </is>
      </c>
      <c r="S20" t="inlineStr">
        <is>
          <t xml:space="preserve">Forest</t>
        </is>
      </c>
      <c r="T20">
        <v>9.10767</v>
      </c>
      <c r="U20">
        <v>9.982251</v>
      </c>
      <c r="V20">
        <v>-2.788095</v>
      </c>
      <c r="W20">
        <v>-2.58939</v>
      </c>
      <c r="X20">
        <v>148</v>
      </c>
      <c r="Y20">
        <v>132.98</v>
      </c>
      <c r="Z20">
        <v>148</v>
      </c>
      <c r="AA20">
        <v>114.5</v>
      </c>
      <c r="AB20">
        <v>8.6</v>
      </c>
      <c r="AC20">
        <v>105.9</v>
      </c>
      <c r="AD20">
        <v>39.6</v>
      </c>
      <c r="AE20">
        <v>103.8</v>
      </c>
      <c r="AJ20">
        <v>3.0748</v>
      </c>
      <c r="AK20">
        <v>0.1212</v>
      </c>
      <c r="AL20">
        <v>-18.07</v>
      </c>
      <c r="AM20">
        <v>-25.03</v>
      </c>
      <c r="AN20">
        <v>-13.88</v>
      </c>
      <c r="AO20">
        <v>37168.05</v>
      </c>
      <c r="AP20">
        <v>1117618984.1</v>
      </c>
      <c r="AQ20">
        <v>15693.79</v>
      </c>
      <c r="AR20" t="inlineStr">
        <is>
          <t xml:space="preserve">AVONET (Tobias et al. 2022)</t>
        </is>
      </c>
      <c r="AS20">
        <v>5.2123</v>
      </c>
      <c r="AT20" t="inlineStr">
        <is>
          <t xml:space="preserve">Bird et al. 2020, Table S4</t>
        </is>
      </c>
    </row>
    <row r="21">
      <c r="A21" t="inlineStr">
        <is>
          <t xml:space="preserve">10</t>
        </is>
      </c>
      <c r="B21" t="inlineStr">
        <is>
          <t xml:space="preserve">MESUNI-PTEGUT-DV</t>
        </is>
      </c>
      <c r="C21" t="inlineStr">
        <is>
          <t xml:space="preserve">PTEGUT</t>
        </is>
      </c>
      <c r="D21" t="inlineStr">
        <is>
          <t xml:space="preserve">greater flight capacity</t>
        </is>
      </c>
      <c r="E21" t="inlineStr">
        <is>
          <t xml:space="preserve">Pterocles gutturalis</t>
        </is>
      </c>
      <c r="G21" t="inlineStr">
        <is>
          <t xml:space="preserve">Columbaves: Columbimorphae</t>
        </is>
      </c>
      <c r="J21" t="inlineStr">
        <is>
          <t xml:space="preserve">toward flight loss</t>
        </is>
      </c>
      <c r="K21" t="inlineStr">
        <is>
          <t xml:space="preserve">sed.→migr.</t>
        </is>
      </c>
      <c r="L21" t="inlineStr">
        <is>
          <t xml:space="preserve">volant</t>
        </is>
      </c>
      <c r="M21" t="inlineStr">
        <is>
          <t xml:space="preserve">continuous flapping (CF)</t>
        </is>
      </c>
      <c r="O21" t="inlineStr">
        <is>
          <t xml:space="preserve">migratory</t>
        </is>
      </c>
      <c r="P21" t="inlineStr">
        <is>
          <t xml:space="preserve">short, partial</t>
        </is>
      </c>
      <c r="Q21">
        <v>2</v>
      </c>
      <c r="R21" t="inlineStr">
        <is>
          <t xml:space="preserve">Terrestrial</t>
        </is>
      </c>
      <c r="S21" t="inlineStr">
        <is>
          <t xml:space="preserve">Grassland</t>
        </is>
      </c>
      <c r="T21">
        <v>54.206644</v>
      </c>
      <c r="U21">
        <v>54.434055</v>
      </c>
      <c r="V21">
        <v>-1.830242</v>
      </c>
      <c r="W21">
        <v>-1.517351</v>
      </c>
      <c r="X21">
        <v>338</v>
      </c>
      <c r="Y21">
        <v>248.226</v>
      </c>
      <c r="Z21">
        <v>338</v>
      </c>
      <c r="AA21">
        <v>213.4</v>
      </c>
      <c r="AB21">
        <v>115</v>
      </c>
      <c r="AC21">
        <v>97.2</v>
      </c>
      <c r="AD21">
        <v>31.2</v>
      </c>
      <c r="AE21">
        <v>80.8</v>
      </c>
      <c r="AJ21">
        <v>3.4222</v>
      </c>
      <c r="AK21">
        <v>-0.2981</v>
      </c>
      <c r="AL21">
        <v>-10.12</v>
      </c>
      <c r="AM21">
        <v>-26.23</v>
      </c>
      <c r="AN21">
        <v>15.3</v>
      </c>
      <c r="AO21">
        <v>810480.4</v>
      </c>
      <c r="AP21">
        <v>1095795781</v>
      </c>
      <c r="AQ21">
        <v>14979.46</v>
      </c>
      <c r="AR21" t="inlineStr">
        <is>
          <t xml:space="preserve">AVONET (Tobias et al. 2022)</t>
        </is>
      </c>
      <c r="AS21">
        <v>3.8642</v>
      </c>
      <c r="AT21" t="inlineStr">
        <is>
          <t xml:space="preserve">Bird et al. 2020, Table S4</t>
        </is>
      </c>
    </row>
    <row r="22">
      <c r="A22" t="inlineStr">
        <is>
          <t xml:space="preserve">11</t>
        </is>
      </c>
      <c r="B22" t="inlineStr">
        <is>
          <t xml:space="preserve">COLLIV-PATFAS-SM</t>
        </is>
      </c>
      <c r="C22" t="inlineStr">
        <is>
          <t xml:space="preserve">COLLIV</t>
        </is>
      </c>
      <c r="D22" t="inlineStr">
        <is>
          <t xml:space="preserve">lesser flight capacity</t>
        </is>
      </c>
      <c r="E22" t="inlineStr">
        <is>
          <t xml:space="preserve">Columba livia</t>
        </is>
      </c>
      <c r="G22" t="inlineStr">
        <is>
          <t xml:space="preserve">Columbaves: Columbimorphae</t>
        </is>
      </c>
      <c r="H22" t="inlineStr">
        <is>
          <t xml:space="preserve">Columbiformes</t>
        </is>
      </c>
      <c r="I22" t="inlineStr">
        <is>
          <t xml:space="preserve">Columbidae</t>
        </is>
      </c>
      <c r="J22" t="inlineStr">
        <is>
          <t xml:space="preserve">to migratory</t>
        </is>
      </c>
      <c r="K22" t="inlineStr">
        <is>
          <t xml:space="preserve">sed.→migr.</t>
        </is>
      </c>
      <c r="L22" t="inlineStr">
        <is>
          <t xml:space="preserve">volant</t>
        </is>
      </c>
      <c r="M22" t="inlineStr">
        <is>
          <t xml:space="preserve">continuous flapping (CF)</t>
        </is>
      </c>
      <c r="O22" t="inlineStr">
        <is>
          <t xml:space="preserve">sedentary</t>
        </is>
      </c>
      <c r="Q22">
        <v>1</v>
      </c>
      <c r="R22" t="inlineStr">
        <is>
          <t xml:space="preserve">Terrestrial</t>
        </is>
      </c>
      <c r="S22" t="inlineStr">
        <is>
          <t xml:space="preserve">Human Modified</t>
        </is>
      </c>
      <c r="T22">
        <v>44.180791</v>
      </c>
      <c r="U22">
        <v>37.017598</v>
      </c>
      <c r="V22">
        <v>-2.081572</v>
      </c>
      <c r="W22">
        <v>-1.994719</v>
      </c>
      <c r="X22">
        <v>354.2</v>
      </c>
      <c r="Y22">
        <v>272.084</v>
      </c>
      <c r="Z22">
        <v>354.2</v>
      </c>
      <c r="AA22">
        <v>219.6</v>
      </c>
      <c r="AB22">
        <v>98.8</v>
      </c>
      <c r="AC22">
        <v>120.4</v>
      </c>
      <c r="AD22">
        <v>26.5</v>
      </c>
      <c r="AE22">
        <v>105.5</v>
      </c>
      <c r="AJ22">
        <v>3.4352</v>
      </c>
      <c r="AK22">
        <v>-0.3086</v>
      </c>
      <c r="AL22">
        <v>33.52</v>
      </c>
      <c r="AM22">
        <v>5.92</v>
      </c>
      <c r="AN22">
        <v>62.4</v>
      </c>
      <c r="AO22">
        <v>17464191.46</v>
      </c>
      <c r="AP22">
        <v>1103041213.6</v>
      </c>
      <c r="AQ22">
        <v>15051.84</v>
      </c>
      <c r="AR22" t="inlineStr">
        <is>
          <t xml:space="preserve">AVONET (Tobias et al. 2022)</t>
        </is>
      </c>
      <c r="AS22">
        <v>3.9931</v>
      </c>
      <c r="AT22" t="inlineStr">
        <is>
          <t xml:space="preserve">Bird et al. 2020, Table S4</t>
        </is>
      </c>
    </row>
    <row r="23">
      <c r="A23" t="inlineStr">
        <is>
          <t xml:space="preserve">11</t>
        </is>
      </c>
      <c r="B23" t="inlineStr">
        <is>
          <t xml:space="preserve">COLLIV-PATFAS-SM</t>
        </is>
      </c>
      <c r="C23" t="inlineStr">
        <is>
          <t xml:space="preserve">PATFAS</t>
        </is>
      </c>
      <c r="D23" t="inlineStr">
        <is>
          <t xml:space="preserve">greater flight capacity</t>
        </is>
      </c>
      <c r="E23" t="inlineStr">
        <is>
          <t xml:space="preserve">Patagioenas fasciata</t>
        </is>
      </c>
      <c r="G23" t="inlineStr">
        <is>
          <t xml:space="preserve">Columbaves: Columbimorphae</t>
        </is>
      </c>
      <c r="H23" t="inlineStr">
        <is>
          <t xml:space="preserve">Columbiformes</t>
        </is>
      </c>
      <c r="I23" t="inlineStr">
        <is>
          <t xml:space="preserve">Columbidae</t>
        </is>
      </c>
      <c r="J23" t="inlineStr">
        <is>
          <t xml:space="preserve">to migratory</t>
        </is>
      </c>
      <c r="K23" t="inlineStr">
        <is>
          <t xml:space="preserve">sed.→migr.</t>
        </is>
      </c>
      <c r="L23" t="inlineStr">
        <is>
          <t xml:space="preserve">volant</t>
        </is>
      </c>
      <c r="M23" t="inlineStr">
        <is>
          <t xml:space="preserve">continuous flapping (CF)</t>
        </is>
      </c>
      <c r="O23" t="inlineStr">
        <is>
          <t xml:space="preserve">migratory</t>
        </is>
      </c>
      <c r="P23" t="inlineStr">
        <is>
          <t xml:space="preserve">short, partial</t>
        </is>
      </c>
      <c r="Q23">
        <v>1</v>
      </c>
      <c r="R23" t="inlineStr">
        <is>
          <t xml:space="preserve">Terrestrial</t>
        </is>
      </c>
      <c r="S23" t="inlineStr">
        <is>
          <t xml:space="preserve">Forest</t>
        </is>
      </c>
      <c r="T23">
        <v>36.234793</v>
      </c>
      <c r="U23">
        <v>35.804542</v>
      </c>
      <c r="V23">
        <v>-2.313433</v>
      </c>
      <c r="W23">
        <v>-1.996155</v>
      </c>
      <c r="X23">
        <v>366.3</v>
      </c>
      <c r="Y23">
        <v>263.546</v>
      </c>
      <c r="Z23">
        <v>366.3</v>
      </c>
      <c r="AA23">
        <v>206.9</v>
      </c>
      <c r="AB23">
        <v>74.7</v>
      </c>
      <c r="AC23">
        <v>131.2</v>
      </c>
      <c r="AD23">
        <v>25.9</v>
      </c>
      <c r="AE23">
        <v>141.5</v>
      </c>
      <c r="AJ23">
        <v>3.3644</v>
      </c>
      <c r="AK23">
        <v>-0.1558</v>
      </c>
      <c r="AL23">
        <v>32.56</v>
      </c>
      <c r="AM23">
        <v>12.67</v>
      </c>
      <c r="AN23">
        <v>51.73</v>
      </c>
      <c r="AO23">
        <v>2624630.54</v>
      </c>
      <c r="AP23">
        <v>1069600346.2</v>
      </c>
      <c r="AQ23">
        <v>14529.21</v>
      </c>
      <c r="AR23" t="inlineStr">
        <is>
          <t xml:space="preserve">AVONET (Tobias et al. 2022)</t>
        </is>
      </c>
      <c r="AS23">
        <v>4.3941</v>
      </c>
      <c r="AT23" t="inlineStr">
        <is>
          <t xml:space="preserve">Bird et al. 2020, Table S4</t>
        </is>
      </c>
    </row>
    <row r="24">
      <c r="A24" t="inlineStr">
        <is>
          <t xml:space="preserve">12</t>
        </is>
      </c>
      <c r="B24" t="inlineStr">
        <is>
          <t xml:space="preserve">PSOCRE-BALREG-DV</t>
        </is>
      </c>
      <c r="C24" t="inlineStr">
        <is>
          <t xml:space="preserve">PSOCRE</t>
        </is>
      </c>
      <c r="D24" t="inlineStr">
        <is>
          <t xml:space="preserve">lesser flight capacity</t>
        </is>
      </c>
      <c r="E24" t="inlineStr">
        <is>
          <t xml:space="preserve">Psophia crepitans</t>
        </is>
      </c>
      <c r="G24" t="inlineStr">
        <is>
          <t xml:space="preserve">Elementaves: Cursorimorphae</t>
        </is>
      </c>
      <c r="H24" t="inlineStr">
        <is>
          <t xml:space="preserve">Gruiformes</t>
        </is>
      </c>
      <c r="J24" t="inlineStr">
        <is>
          <t xml:space="preserve">toward limited flight</t>
        </is>
      </c>
      <c r="K24" t="inlineStr">
        <is>
          <t xml:space="preserve">N/A (sed.)</t>
        </is>
      </c>
      <c r="L24" t="inlineStr">
        <is>
          <t xml:space="preserve">limited</t>
        </is>
      </c>
      <c r="M24" t="inlineStr">
        <is>
          <t xml:space="preserve">burst flight (BF)</t>
        </is>
      </c>
      <c r="O24" t="inlineStr">
        <is>
          <t xml:space="preserve">sedentary</t>
        </is>
      </c>
      <c r="Q24">
        <v>1</v>
      </c>
      <c r="R24" t="inlineStr">
        <is>
          <t xml:space="preserve">Terrestrial</t>
        </is>
      </c>
      <c r="S24" t="inlineStr">
        <is>
          <t xml:space="preserve">Forest</t>
        </is>
      </c>
      <c r="T24">
        <v>9.624414</v>
      </c>
      <c r="U24">
        <v>8.134591</v>
      </c>
      <c r="V24">
        <v>-4.66912</v>
      </c>
      <c r="W24">
        <v>-4.940486</v>
      </c>
      <c r="X24">
        <v>1026</v>
      </c>
      <c r="Y24">
        <v>1137.527</v>
      </c>
      <c r="Z24">
        <v>1026</v>
      </c>
      <c r="AA24">
        <v>275.2</v>
      </c>
      <c r="AB24">
        <v>26.5</v>
      </c>
      <c r="AC24">
        <v>248.8</v>
      </c>
      <c r="AD24">
        <v>133.6</v>
      </c>
      <c r="AE24">
        <v>117.4</v>
      </c>
      <c r="AJ24">
        <v>3.3064</v>
      </c>
      <c r="AK24">
        <v>0.3036</v>
      </c>
      <c r="AL24">
        <v>1.5</v>
      </c>
      <c r="AM24">
        <v>-5.05</v>
      </c>
      <c r="AN24">
        <v>10.24</v>
      </c>
      <c r="AO24">
        <v>2593241.63</v>
      </c>
      <c r="AP24">
        <v>1174938589.5</v>
      </c>
      <c r="AQ24">
        <v>15769.09</v>
      </c>
      <c r="AR24" t="inlineStr">
        <is>
          <t xml:space="preserve">AVONET (Tobias et al. 2022)</t>
        </is>
      </c>
      <c r="AS24">
        <v>6.4802</v>
      </c>
      <c r="AT24" t="inlineStr">
        <is>
          <t xml:space="preserve">Bird et al. 2020, Table S4</t>
        </is>
      </c>
    </row>
    <row r="25">
      <c r="A25" t="inlineStr">
        <is>
          <t xml:space="preserve">12</t>
        </is>
      </c>
      <c r="B25" t="inlineStr">
        <is>
          <t xml:space="preserve">PSOCRE-BALREG-DV</t>
        </is>
      </c>
      <c r="C25" t="inlineStr">
        <is>
          <t xml:space="preserve">BALREG</t>
        </is>
      </c>
      <c r="D25" t="inlineStr">
        <is>
          <t xml:space="preserve">greater flight capacity</t>
        </is>
      </c>
      <c r="E25" t="inlineStr">
        <is>
          <t xml:space="preserve">Balearica regulorum</t>
        </is>
      </c>
      <c r="G25" t="inlineStr">
        <is>
          <t xml:space="preserve">Elementaves: Cursorimorphae</t>
        </is>
      </c>
      <c r="H25" t="inlineStr">
        <is>
          <t xml:space="preserve">Gruiformes</t>
        </is>
      </c>
      <c r="J25" t="inlineStr">
        <is>
          <t xml:space="preserve">toward limited flight</t>
        </is>
      </c>
      <c r="K25" t="inlineStr">
        <is>
          <t xml:space="preserve">N/A (sed.)</t>
        </is>
      </c>
      <c r="L25" t="inlineStr">
        <is>
          <t xml:space="preserve">volant</t>
        </is>
      </c>
      <c r="M25" t="inlineStr">
        <is>
          <t xml:space="preserve">flap-gliding (FG)</t>
        </is>
      </c>
      <c r="O25" t="inlineStr">
        <is>
          <t xml:space="preserve">sedentary</t>
        </is>
      </c>
      <c r="Q25">
        <v>1</v>
      </c>
      <c r="R25" t="inlineStr">
        <is>
          <t xml:space="preserve">Terrestrial</t>
        </is>
      </c>
      <c r="S25" t="inlineStr">
        <is>
          <t xml:space="preserve">Wetland</t>
        </is>
      </c>
      <c r="T25">
        <v>37.978204</v>
      </c>
      <c r="U25">
        <v>39.261993</v>
      </c>
      <c r="V25">
        <v>-4.598346</v>
      </c>
      <c r="W25">
        <v>-4.852075</v>
      </c>
      <c r="X25">
        <v>3771.99</v>
      </c>
      <c r="Y25">
        <v>5025.759</v>
      </c>
      <c r="Z25">
        <v>3771.99</v>
      </c>
      <c r="AA25">
        <v>569</v>
      </c>
      <c r="AB25">
        <v>214.2</v>
      </c>
      <c r="AC25">
        <v>352.2</v>
      </c>
      <c r="AD25">
        <v>223</v>
      </c>
      <c r="AE25">
        <v>243</v>
      </c>
      <c r="AJ25">
        <v>3.5988</v>
      </c>
      <c r="AK25">
        <v>0.1528</v>
      </c>
      <c r="AL25">
        <v>-12.26</v>
      </c>
      <c r="AM25">
        <v>-33.78</v>
      </c>
      <c r="AN25">
        <v>2.3</v>
      </c>
      <c r="AO25">
        <v>3528882.19</v>
      </c>
      <c r="AP25">
        <v>1154809395</v>
      </c>
      <c r="AQ25">
        <v>15239.88</v>
      </c>
      <c r="AR25" t="inlineStr">
        <is>
          <t xml:space="preserve">AVONET (Tobias et al. 2022)</t>
        </is>
      </c>
      <c r="AS25">
        <v>9.2522</v>
      </c>
      <c r="AT25" t="inlineStr">
        <is>
          <t xml:space="preserve">Bird et al. 2020, Table S4</t>
        </is>
      </c>
    </row>
    <row r="26">
      <c r="A26" t="inlineStr">
        <is>
          <t xml:space="preserve">13 (vi)</t>
        </is>
      </c>
      <c r="B26" t="inlineStr">
        <is>
          <t xml:space="preserve">ATLROG-HELFUL-FV</t>
        </is>
      </c>
      <c r="C26" t="inlineStr">
        <is>
          <t xml:space="preserve">ATLROG</t>
        </is>
      </c>
      <c r="D26" t="inlineStr">
        <is>
          <t xml:space="preserve">lesser flight capacity</t>
        </is>
      </c>
      <c r="E26" t="inlineStr">
        <is>
          <t xml:space="preserve">Laterallus rogersi</t>
        </is>
      </c>
      <c r="G26" t="inlineStr">
        <is>
          <t xml:space="preserve">Elementaves: Cursorimorphae</t>
        </is>
      </c>
      <c r="H26" t="inlineStr">
        <is>
          <t xml:space="preserve">Gruiformes</t>
        </is>
      </c>
      <c r="J26" t="inlineStr">
        <is>
          <t xml:space="preserve">toward flight loss</t>
        </is>
      </c>
      <c r="K26" t="inlineStr">
        <is>
          <t xml:space="preserve">N/A (sed.)</t>
        </is>
      </c>
      <c r="L26" t="inlineStr">
        <is>
          <t xml:space="preserve">lost</t>
        </is>
      </c>
      <c r="M26" t="inlineStr">
        <is>
          <t xml:space="preserve">none</t>
        </is>
      </c>
      <c r="O26" t="inlineStr">
        <is>
          <t xml:space="preserve">sedentary</t>
        </is>
      </c>
      <c r="Q26">
        <v>1</v>
      </c>
      <c r="R26" t="inlineStr">
        <is>
          <t xml:space="preserve">Terrestrial</t>
        </is>
      </c>
      <c r="S26" t="inlineStr">
        <is>
          <t xml:space="preserve">Grassland</t>
        </is>
      </c>
      <c r="T26">
        <v>0.18463</v>
      </c>
      <c r="U26">
        <v>22.158963</v>
      </c>
      <c r="V26">
        <v>-5.359862</v>
      </c>
      <c r="W26">
        <v>-2.65439</v>
      </c>
      <c r="X26">
        <v>39.27</v>
      </c>
      <c r="Y26">
        <v>315.019</v>
      </c>
      <c r="Z26">
        <v>39.27</v>
      </c>
      <c r="AA26">
        <v>54.2</v>
      </c>
      <c r="AB26">
        <v>0.1</v>
      </c>
      <c r="AC26">
        <v>54.1</v>
      </c>
      <c r="AD26">
        <v>22.5</v>
      </c>
      <c r="AE26">
        <v>28.5</v>
      </c>
      <c r="AJ26">
        <v>2.7692</v>
      </c>
      <c r="AK26">
        <v>0.2903</v>
      </c>
      <c r="AL26">
        <v>-37.3</v>
      </c>
      <c r="AM26">
        <v>-37.33</v>
      </c>
      <c r="AN26">
        <v>-37.28</v>
      </c>
      <c r="AO26">
        <v>16.43</v>
      </c>
      <c r="AP26">
        <v>1220854836.2</v>
      </c>
      <c r="AQ26">
        <v>16353.79</v>
      </c>
      <c r="AR26" t="inlineStr">
        <is>
          <t xml:space="preserve">AVONET (Tobias et al. 2022)</t>
        </is>
      </c>
      <c r="AS26">
        <v>3.6876</v>
      </c>
      <c r="AT26" t="inlineStr">
        <is>
          <t xml:space="preserve">Bird et al. 2020, Table S4</t>
        </is>
      </c>
    </row>
    <row r="27">
      <c r="A27" t="inlineStr">
        <is>
          <t xml:space="preserve">13 (vi)</t>
        </is>
      </c>
      <c r="B27" t="inlineStr">
        <is>
          <t xml:space="preserve">ATLROG-HELFUL-FV</t>
        </is>
      </c>
      <c r="C27" t="inlineStr">
        <is>
          <t xml:space="preserve">HELFUL</t>
        </is>
      </c>
      <c r="D27" t="inlineStr">
        <is>
          <t xml:space="preserve">greater flight capacity</t>
        </is>
      </c>
      <c r="E27" t="inlineStr">
        <is>
          <t xml:space="preserve">Heliornis fulica</t>
        </is>
      </c>
      <c r="G27" t="inlineStr">
        <is>
          <t xml:space="preserve">Elementaves: Cursorimorphae</t>
        </is>
      </c>
      <c r="H27" t="inlineStr">
        <is>
          <t xml:space="preserve">Gruiformes</t>
        </is>
      </c>
      <c r="J27" t="inlineStr">
        <is>
          <t xml:space="preserve">toward flight loss</t>
        </is>
      </c>
      <c r="K27" t="inlineStr">
        <is>
          <t xml:space="preserve">N/A (sed.)</t>
        </is>
      </c>
      <c r="L27" t="inlineStr">
        <is>
          <t xml:space="preserve">volant</t>
        </is>
      </c>
      <c r="M27" t="inlineStr">
        <is>
          <t xml:space="preserve">continuous flapping (CF)</t>
        </is>
      </c>
      <c r="N27" t="inlineStr">
        <is>
          <t xml:space="preserve">foot-propelled</t>
        </is>
      </c>
      <c r="O27" t="inlineStr">
        <is>
          <t xml:space="preserve">sedentary</t>
        </is>
      </c>
      <c r="Q27">
        <v>1</v>
      </c>
      <c r="R27" t="inlineStr">
        <is>
          <t xml:space="preserve">Aquatic</t>
        </is>
      </c>
      <c r="S27" t="inlineStr">
        <is>
          <t xml:space="preserve">Wetland</t>
        </is>
      </c>
      <c r="T27">
        <v>36.247463</v>
      </c>
      <c r="U27">
        <v>21.525802</v>
      </c>
      <c r="V27">
        <v>-1.292433</v>
      </c>
      <c r="W27">
        <v>-1.790961</v>
      </c>
      <c r="X27">
        <v>132</v>
      </c>
      <c r="Y27">
        <v>129.052</v>
      </c>
      <c r="Z27">
        <v>132</v>
      </c>
      <c r="AA27">
        <v>141.5</v>
      </c>
      <c r="AB27">
        <v>51.3</v>
      </c>
      <c r="AC27">
        <v>90.4</v>
      </c>
      <c r="AD27">
        <v>21.6</v>
      </c>
      <c r="AE27">
        <v>81.8</v>
      </c>
      <c r="AJ27">
        <v>3.3247</v>
      </c>
      <c r="AK27">
        <v>-0.4166</v>
      </c>
      <c r="AL27">
        <v>-4.37</v>
      </c>
      <c r="AM27">
        <v>-27.05</v>
      </c>
      <c r="AN27">
        <v>23.84</v>
      </c>
      <c r="AO27">
        <v>8812012.44</v>
      </c>
      <c r="AP27">
        <v>1108060246.9</v>
      </c>
      <c r="AQ27">
        <v>15506.16</v>
      </c>
      <c r="AR27" t="inlineStr">
        <is>
          <t xml:space="preserve">AVONET (Tobias et al. 2022)</t>
        </is>
      </c>
      <c r="AS27">
        <v>4.5417</v>
      </c>
      <c r="AT27" t="inlineStr">
        <is>
          <t xml:space="preserve">Bird et al. 2020, Table S4</t>
        </is>
      </c>
    </row>
    <row r="28">
      <c r="A28" t="inlineStr">
        <is>
          <t xml:space="preserve">14</t>
        </is>
      </c>
      <c r="B28" t="inlineStr">
        <is>
          <t xml:space="preserve">CHAVOC-CHAALE-VV</t>
        </is>
      </c>
      <c r="C28" t="inlineStr">
        <is>
          <t xml:space="preserve">CHAVOC</t>
        </is>
      </c>
      <c r="D28" t="inlineStr">
        <is>
          <t xml:space="preserve">lesser flight capacity</t>
        </is>
      </c>
      <c r="E28" t="inlineStr">
        <is>
          <t xml:space="preserve">Charadrius vociferus</t>
        </is>
      </c>
      <c r="G28" t="inlineStr">
        <is>
          <t xml:space="preserve">Elementaves: Cursorimorphae</t>
        </is>
      </c>
      <c r="H28" t="inlineStr">
        <is>
          <t xml:space="preserve">Charadriiformes</t>
        </is>
      </c>
      <c r="I28" t="inlineStr">
        <is>
          <t xml:space="preserve">Charadriidae</t>
        </is>
      </c>
      <c r="J28" t="inlineStr">
        <is>
          <t xml:space="preserve">minimal</t>
        </is>
      </c>
      <c r="K28" t="inlineStr">
        <is>
          <t xml:space="preserve">N/A (migr.)</t>
        </is>
      </c>
      <c r="L28" t="inlineStr">
        <is>
          <t xml:space="preserve">volant</t>
        </is>
      </c>
      <c r="M28" t="inlineStr">
        <is>
          <t xml:space="preserve">flap-gliding (FG)</t>
        </is>
      </c>
      <c r="O28" t="inlineStr">
        <is>
          <t xml:space="preserve">migratory</t>
        </is>
      </c>
      <c r="P28" t="inlineStr">
        <is>
          <t xml:space="preserve">medium, partial</t>
        </is>
      </c>
      <c r="Q28">
        <v>3</v>
      </c>
      <c r="R28" t="inlineStr">
        <is>
          <t xml:space="preserve">Terrestrial</t>
        </is>
      </c>
      <c r="S28" t="inlineStr">
        <is>
          <t xml:space="preserve">Wetland</t>
        </is>
      </c>
      <c r="T28">
        <v>52.61916</v>
      </c>
      <c r="U28">
        <v>52.523437</v>
      </c>
      <c r="V28">
        <v>-0.605841</v>
      </c>
      <c r="W28">
        <v>-0.207335</v>
      </c>
      <c r="X28">
        <v>96.44</v>
      </c>
      <c r="Y28">
        <v>64.625</v>
      </c>
      <c r="Z28">
        <v>96.44</v>
      </c>
      <c r="AA28">
        <v>158.8</v>
      </c>
      <c r="AB28">
        <v>83.5</v>
      </c>
      <c r="AC28">
        <v>75.2</v>
      </c>
      <c r="AD28">
        <v>34.4</v>
      </c>
      <c r="AE28">
        <v>85.8</v>
      </c>
      <c r="AF28">
        <v>275</v>
      </c>
      <c r="AG28">
        <v>85</v>
      </c>
      <c r="AH28">
        <v>0.309</v>
      </c>
      <c r="AI28" t="inlineStr">
        <is>
          <t xml:space="preserve">Poole 1938</t>
        </is>
      </c>
      <c r="AJ28">
        <v>3.5447</v>
      </c>
      <c r="AK28">
        <v>-0.9612</v>
      </c>
      <c r="AL28">
        <v>44.7</v>
      </c>
      <c r="AM28">
        <v>-18.69</v>
      </c>
      <c r="AN28">
        <v>68.94</v>
      </c>
      <c r="AO28">
        <v>14759088.1</v>
      </c>
      <c r="AP28">
        <v>1215932822.8</v>
      </c>
      <c r="AQ28">
        <v>14598.58</v>
      </c>
      <c r="AR28" t="inlineStr">
        <is>
          <t xml:space="preserve">AVONET (Tobias et al. 2022)</t>
        </is>
      </c>
      <c r="AS28">
        <v>3.9240</v>
      </c>
      <c r="AT28" t="inlineStr">
        <is>
          <t xml:space="preserve">Bird et al. 2020, Table S4</t>
        </is>
      </c>
    </row>
    <row r="29">
      <c r="A29" t="inlineStr">
        <is>
          <t xml:space="preserve">14</t>
        </is>
      </c>
      <c r="B29" t="inlineStr">
        <is>
          <t xml:space="preserve">CHAVOC-CHAALE-VV</t>
        </is>
      </c>
      <c r="C29" t="inlineStr">
        <is>
          <t xml:space="preserve">CHAALE</t>
        </is>
      </c>
      <c r="D29" t="inlineStr">
        <is>
          <t xml:space="preserve">greater flight capacity</t>
        </is>
      </c>
      <c r="E29" t="inlineStr">
        <is>
          <t xml:space="preserve">Anarhynchus alexandrinus</t>
        </is>
      </c>
      <c r="F29" t="inlineStr">
        <is>
          <t xml:space="preserve">Charadrius alexandrinus</t>
        </is>
      </c>
      <c r="G29" t="inlineStr">
        <is>
          <t xml:space="preserve">Elementaves: Cursorimorphae</t>
        </is>
      </c>
      <c r="H29" t="inlineStr">
        <is>
          <t xml:space="preserve">Charadriiformes</t>
        </is>
      </c>
      <c r="I29" t="inlineStr">
        <is>
          <t xml:space="preserve">Charadriidae</t>
        </is>
      </c>
      <c r="J29" t="inlineStr">
        <is>
          <t xml:space="preserve">minimal</t>
        </is>
      </c>
      <c r="K29" t="inlineStr">
        <is>
          <t xml:space="preserve">N/A (migr.)</t>
        </is>
      </c>
      <c r="L29" t="inlineStr">
        <is>
          <t xml:space="preserve">volant</t>
        </is>
      </c>
      <c r="M29" t="inlineStr">
        <is>
          <t xml:space="preserve">flap-gliding (FG)</t>
        </is>
      </c>
      <c r="O29" t="inlineStr">
        <is>
          <t xml:space="preserve">migratory</t>
        </is>
      </c>
      <c r="P29" t="inlineStr">
        <is>
          <t xml:space="preserve">medium–long, partial</t>
        </is>
      </c>
      <c r="Q29">
        <v>2</v>
      </c>
      <c r="R29" t="inlineStr">
        <is>
          <t xml:space="preserve">Terrestrial</t>
        </is>
      </c>
      <c r="S29" t="inlineStr">
        <is>
          <t xml:space="preserve">Coastal</t>
        </is>
      </c>
      <c r="T29">
        <v>54.985273</v>
      </c>
      <c r="U29">
        <v>51.981876</v>
      </c>
      <c r="V29">
        <v>0.262278</v>
      </c>
      <c r="W29">
        <v>-0.143881</v>
      </c>
      <c r="X29">
        <v>42.3</v>
      </c>
      <c r="Y29">
        <v>60.026</v>
      </c>
      <c r="Z29">
        <v>42.3</v>
      </c>
      <c r="AA29">
        <v>106.2</v>
      </c>
      <c r="AB29">
        <v>59.2</v>
      </c>
      <c r="AC29">
        <v>48.5</v>
      </c>
      <c r="AD29">
        <v>26.5</v>
      </c>
      <c r="AE29">
        <v>44.2</v>
      </c>
      <c r="AJ29">
        <v>3.4171</v>
      </c>
      <c r="AK29">
        <v>-0.9807</v>
      </c>
      <c r="AL29">
        <v>40.96</v>
      </c>
      <c r="AM29">
        <v>5.92</v>
      </c>
      <c r="AN29">
        <v>56.69</v>
      </c>
      <c r="AO29">
        <v>13539453.43</v>
      </c>
      <c r="AP29">
        <v>1236848961</v>
      </c>
      <c r="AQ29">
        <v>16007.15</v>
      </c>
      <c r="AR29" t="inlineStr">
        <is>
          <t xml:space="preserve">AVONET (Tobias et al. 2022)</t>
        </is>
      </c>
      <c r="AS29">
        <v>4.0580</v>
      </c>
      <c r="AT29" t="inlineStr">
        <is>
          <t xml:space="preserve">Bird et al. 2020, Table S4</t>
        </is>
      </c>
    </row>
    <row r="30">
      <c r="A30" t="inlineStr">
        <is>
          <t xml:space="preserve">15</t>
        </is>
      </c>
      <c r="B30" t="inlineStr">
        <is>
          <t xml:space="preserve">PINIMP-ALCTOR-FV</t>
        </is>
      </c>
      <c r="C30" t="inlineStr">
        <is>
          <t xml:space="preserve">PINIMP</t>
        </is>
      </c>
      <c r="D30" t="inlineStr">
        <is>
          <t xml:space="preserve">lesser flight capacity</t>
        </is>
      </c>
      <c r="E30" t="inlineStr">
        <is>
          <t xml:space="preserve">Pinguinus impennis†</t>
        </is>
      </c>
      <c r="G30" t="inlineStr">
        <is>
          <t xml:space="preserve">Elementaves: Cursorimorphae</t>
        </is>
      </c>
      <c r="H30" t="inlineStr">
        <is>
          <t xml:space="preserve">Charadriiformes</t>
        </is>
      </c>
      <c r="I30" t="inlineStr">
        <is>
          <t xml:space="preserve">Alcidae</t>
        </is>
      </c>
      <c r="J30" t="inlineStr">
        <is>
          <t xml:space="preserve">toward flight loss</t>
        </is>
      </c>
      <c r="K30" t="inlineStr">
        <is>
          <t xml:space="preserve">sed.→migr.</t>
        </is>
      </c>
      <c r="L30" t="inlineStr">
        <is>
          <t xml:space="preserve">lost</t>
        </is>
      </c>
      <c r="M30" t="inlineStr">
        <is>
          <t xml:space="preserve">wing-propelled swimming (WS)</t>
        </is>
      </c>
      <c r="N30" t="inlineStr">
        <is>
          <t xml:space="preserve">wing-propelled</t>
        </is>
      </c>
      <c r="O30" t="inlineStr">
        <is>
          <t xml:space="preserve">sedentary**</t>
        </is>
      </c>
      <c r="T30">
        <v>53.84</v>
      </c>
      <c r="U30">
        <v>53.84</v>
      </c>
      <c r="V30">
        <v>-4.479883</v>
      </c>
      <c r="W30">
        <v>-4.479883</v>
      </c>
      <c r="X30">
        <v>4750</v>
      </c>
      <c r="Y30">
        <v>4750</v>
      </c>
      <c r="Z30">
        <v>3561</v>
      </c>
      <c r="AA30">
        <v>160</v>
      </c>
      <c r="AD30">
        <v>59.6</v>
      </c>
      <c r="AE30">
        <v>73</v>
      </c>
      <c r="AF30">
        <v>230</v>
      </c>
      <c r="AG30">
        <v>3561</v>
      </c>
      <c r="AH30">
        <v>15.483</v>
      </c>
      <c r="AI30" t="inlineStr">
        <is>
          <t xml:space="preserve">Livezey 1988 (traced wing, corrected to extended)</t>
        </is>
      </c>
      <c r="AJ30">
        <v>2.3492</v>
      </c>
      <c r="AK30">
        <v>2.6326</v>
      </c>
      <c r="AP30">
        <v>26111648.1</v>
      </c>
      <c r="AQ30">
        <v>15646.59</v>
      </c>
      <c r="AR30" t="inlineStr">
        <is>
          <t xml:space="preserve">Livezey 1988 Table 1 (morphometrics); Montgomerie &amp; Birkhead 2025 (mass)</t>
        </is>
      </c>
      <c r="AS30">
        <v>23.6879</v>
      </c>
      <c r="AT30" t="inlineStr">
        <is>
          <t xml:space="preserve">Imputed with phylo.impute from ln body mass (Bird et al. 2020 value is a family-level extrapolation)</t>
        </is>
      </c>
    </row>
    <row r="31">
      <c r="A31" t="inlineStr">
        <is>
          <t xml:space="preserve">15</t>
        </is>
      </c>
      <c r="B31" t="inlineStr">
        <is>
          <t xml:space="preserve">PINIMP-ALCTOR-FV</t>
        </is>
      </c>
      <c r="C31" t="inlineStr">
        <is>
          <t xml:space="preserve">ALCTOR</t>
        </is>
      </c>
      <c r="D31" t="inlineStr">
        <is>
          <t xml:space="preserve">greater flight capacity</t>
        </is>
      </c>
      <c r="E31" t="inlineStr">
        <is>
          <t xml:space="preserve">Alca torda</t>
        </is>
      </c>
      <c r="G31" t="inlineStr">
        <is>
          <t xml:space="preserve">Elementaves: Cursorimorphae</t>
        </is>
      </c>
      <c r="H31" t="inlineStr">
        <is>
          <t xml:space="preserve">Charadriiformes</t>
        </is>
      </c>
      <c r="I31" t="inlineStr">
        <is>
          <t xml:space="preserve">Alcidae</t>
        </is>
      </c>
      <c r="J31" t="inlineStr">
        <is>
          <t xml:space="preserve">toward flight loss</t>
        </is>
      </c>
      <c r="K31" t="inlineStr">
        <is>
          <t xml:space="preserve">sed.→migr.</t>
        </is>
      </c>
      <c r="L31" t="inlineStr">
        <is>
          <t xml:space="preserve">volant</t>
        </is>
      </c>
      <c r="M31" t="inlineStr">
        <is>
          <t xml:space="preserve">continuous flapping (CF)</t>
        </is>
      </c>
      <c r="N31" t="inlineStr">
        <is>
          <t xml:space="preserve">wing-propelled</t>
        </is>
      </c>
      <c r="O31" t="inlineStr">
        <is>
          <t xml:space="preserve">migratory</t>
        </is>
      </c>
      <c r="P31" t="inlineStr">
        <is>
          <t xml:space="preserve">short–medium</t>
        </is>
      </c>
      <c r="Q31">
        <v>3</v>
      </c>
      <c r="R31" t="inlineStr">
        <is>
          <t xml:space="preserve">Aquatic</t>
        </is>
      </c>
      <c r="S31" t="inlineStr">
        <is>
          <t xml:space="preserve">Marine</t>
        </is>
      </c>
      <c r="T31">
        <v>56.798642</v>
      </c>
      <c r="U31">
        <v>56.798642</v>
      </c>
      <c r="V31">
        <v>-2.548024</v>
      </c>
      <c r="W31">
        <v>-2.548024</v>
      </c>
      <c r="X31">
        <v>725.99</v>
      </c>
      <c r="Y31">
        <v>725.99</v>
      </c>
      <c r="Z31">
        <v>725.99</v>
      </c>
      <c r="AA31">
        <v>209.3</v>
      </c>
      <c r="AB31">
        <v>116.5</v>
      </c>
      <c r="AC31">
        <v>88.5</v>
      </c>
      <c r="AD31">
        <v>32.4</v>
      </c>
      <c r="AE31">
        <v>94.7</v>
      </c>
      <c r="AF31">
        <v>443</v>
      </c>
      <c r="AG31">
        <v>726</v>
      </c>
      <c r="AH31">
        <v>1.639</v>
      </c>
      <c r="AI31" t="inlineStr">
        <is>
          <t xml:space="preserve">Livezey 1988 (from wing-loading 1.63 g/cm2)</t>
        </is>
      </c>
      <c r="AJ31">
        <v>3.1479</v>
      </c>
      <c r="AK31">
        <v>0.5052</v>
      </c>
      <c r="AL31">
        <v>61.38</v>
      </c>
      <c r="AM31">
        <v>43.1</v>
      </c>
      <c r="AN31">
        <v>76.41</v>
      </c>
      <c r="AO31">
        <v>1228730.51</v>
      </c>
      <c r="AP31">
        <v>1175339792.1</v>
      </c>
      <c r="AQ31">
        <v>16095.59</v>
      </c>
      <c r="AR31" t="inlineStr">
        <is>
          <t xml:space="preserve">AVONET (Tobias et al. 2022)</t>
        </is>
      </c>
      <c r="AS31">
        <v>16.3696</v>
      </c>
      <c r="AT31" t="inlineStr">
        <is>
          <t xml:space="preserve">Bird et al. 2020, Table S4</t>
        </is>
      </c>
    </row>
    <row r="32">
      <c r="A32" t="inlineStr">
        <is>
          <t xml:space="preserve">16 (v)</t>
        </is>
      </c>
      <c r="B32" t="inlineStr">
        <is>
          <t xml:space="preserve">RHYJUB-PHALEP-DV</t>
        </is>
      </c>
      <c r="C32" t="inlineStr">
        <is>
          <t xml:space="preserve">RHYJUB</t>
        </is>
      </c>
      <c r="D32" t="inlineStr">
        <is>
          <t xml:space="preserve">lesser flight capacity</t>
        </is>
      </c>
      <c r="E32" t="inlineStr">
        <is>
          <t xml:space="preserve">Rhynochetos jubatus</t>
        </is>
      </c>
      <c r="G32" t="inlineStr">
        <is>
          <t xml:space="preserve">Elementaves: Phaethonimorphae</t>
        </is>
      </c>
      <c r="J32" t="inlineStr">
        <is>
          <t xml:space="preserve">toward flight loss</t>
        </is>
      </c>
      <c r="K32" t="inlineStr">
        <is>
          <t xml:space="preserve">sed.→migr.</t>
        </is>
      </c>
      <c r="L32" t="inlineStr">
        <is>
          <t xml:space="preserve">near lost</t>
        </is>
      </c>
      <c r="M32" t="inlineStr">
        <is>
          <t xml:space="preserve">limited flight (LF)</t>
        </is>
      </c>
      <c r="O32" t="inlineStr">
        <is>
          <t xml:space="preserve">sedentary</t>
        </is>
      </c>
      <c r="Q32">
        <v>1</v>
      </c>
      <c r="R32" t="inlineStr">
        <is>
          <t xml:space="preserve">Terrestrial</t>
        </is>
      </c>
      <c r="S32" t="inlineStr">
        <is>
          <t xml:space="preserve">Forest</t>
        </is>
      </c>
      <c r="T32">
        <v>14.028705</v>
      </c>
      <c r="U32">
        <v>15.002463</v>
      </c>
      <c r="V32">
        <v>-4.115815</v>
      </c>
      <c r="W32">
        <v>-3.574043</v>
      </c>
      <c r="X32">
        <v>859.99</v>
      </c>
      <c r="Y32">
        <v>534.995</v>
      </c>
      <c r="Z32">
        <v>859.99</v>
      </c>
      <c r="AA32">
        <v>264.3</v>
      </c>
      <c r="AB32">
        <v>37.1</v>
      </c>
      <c r="AC32">
        <v>227.2</v>
      </c>
      <c r="AD32">
        <v>100</v>
      </c>
      <c r="AE32">
        <v>183.5</v>
      </c>
      <c r="AJ32">
        <v>3.3248</v>
      </c>
      <c r="AK32">
        <v>0.2079</v>
      </c>
      <c r="AL32">
        <v>-21.58</v>
      </c>
      <c r="AM32">
        <v>-22.15</v>
      </c>
      <c r="AN32">
        <v>-20.82</v>
      </c>
      <c r="AO32">
        <v>1341.75</v>
      </c>
      <c r="AP32">
        <v>1117650131</v>
      </c>
      <c r="AQ32">
        <v>15224.6</v>
      </c>
      <c r="AR32" t="inlineStr">
        <is>
          <t xml:space="preserve">AVONET (Tobias et al. 2022)</t>
        </is>
      </c>
      <c r="AS32">
        <v>7.6049</v>
      </c>
      <c r="AT32" t="inlineStr">
        <is>
          <t xml:space="preserve">Bird et al. 2020, Table S4</t>
        </is>
      </c>
    </row>
    <row r="33">
      <c r="A33" t="inlineStr">
        <is>
          <t xml:space="preserve">16 (v)</t>
        </is>
      </c>
      <c r="B33" t="inlineStr">
        <is>
          <t xml:space="preserve">RHYJUB-PHALEP-DV</t>
        </is>
      </c>
      <c r="C33" t="inlineStr">
        <is>
          <t xml:space="preserve">PHALEP</t>
        </is>
      </c>
      <c r="D33" t="inlineStr">
        <is>
          <t xml:space="preserve">greater flight capacity</t>
        </is>
      </c>
      <c r="E33" t="inlineStr">
        <is>
          <t xml:space="preserve">Phaethon lepturus</t>
        </is>
      </c>
      <c r="G33" t="inlineStr">
        <is>
          <t xml:space="preserve">Elementaves: Phaethonimorphae</t>
        </is>
      </c>
      <c r="J33" t="inlineStr">
        <is>
          <t xml:space="preserve">toward flight loss</t>
        </is>
      </c>
      <c r="K33" t="inlineStr">
        <is>
          <t xml:space="preserve">sed.→migr.</t>
        </is>
      </c>
      <c r="L33" t="inlineStr">
        <is>
          <t xml:space="preserve">volant</t>
        </is>
      </c>
      <c r="M33" t="inlineStr">
        <is>
          <t xml:space="preserve">flap-gliding (FG)</t>
        </is>
      </c>
      <c r="O33" t="inlineStr">
        <is>
          <t xml:space="preserve">migratory</t>
        </is>
      </c>
      <c r="P33" t="inlineStr">
        <is>
          <t xml:space="preserve">medium dispersive</t>
        </is>
      </c>
      <c r="Q33">
        <v>3</v>
      </c>
      <c r="R33" t="inlineStr">
        <is>
          <t xml:space="preserve">Aerial</t>
        </is>
      </c>
      <c r="S33" t="inlineStr">
        <is>
          <t xml:space="preserve">Marine</t>
        </is>
      </c>
      <c r="T33">
        <v>70.379278</v>
      </c>
      <c r="U33">
        <v>69.231126</v>
      </c>
      <c r="V33">
        <v>-1.539237</v>
      </c>
      <c r="W33">
        <v>-2.131251</v>
      </c>
      <c r="X33">
        <v>328.04</v>
      </c>
      <c r="Y33">
        <v>583.3</v>
      </c>
      <c r="Z33">
        <v>328.04</v>
      </c>
      <c r="AA33">
        <v>269.4</v>
      </c>
      <c r="AB33">
        <v>188.5</v>
      </c>
      <c r="AC33">
        <v>79.5</v>
      </c>
      <c r="AD33">
        <v>20.6</v>
      </c>
      <c r="AE33">
        <v>108.2</v>
      </c>
      <c r="AJ33">
        <v>3.6652</v>
      </c>
      <c r="AK33">
        <v>-0.7941</v>
      </c>
      <c r="AL33">
        <v>-9</v>
      </c>
      <c r="AM33">
        <v>-27.65</v>
      </c>
      <c r="AN33">
        <v>32.39</v>
      </c>
      <c r="AO33">
        <v>88168.39</v>
      </c>
      <c r="AP33">
        <v>1183155367.6</v>
      </c>
      <c r="AQ33">
        <v>15268.43</v>
      </c>
      <c r="AR33" t="inlineStr">
        <is>
          <t xml:space="preserve">AVONET (Tobias et al. 2022)</t>
        </is>
      </c>
      <c r="AS33">
        <v>8.1684</v>
      </c>
      <c r="AT33" t="inlineStr">
        <is>
          <t xml:space="preserve">Bird et al. 2020, Table S4</t>
        </is>
      </c>
    </row>
    <row r="34">
      <c r="A34" t="inlineStr">
        <is>
          <t xml:space="preserve">17 (iv)</t>
        </is>
      </c>
      <c r="B34" t="inlineStr">
        <is>
          <t xml:space="preserve">APTFOR-PELURI-FV</t>
        </is>
      </c>
      <c r="C34" t="inlineStr">
        <is>
          <t xml:space="preserve">APTFOR</t>
        </is>
      </c>
      <c r="D34" t="inlineStr">
        <is>
          <t xml:space="preserve">lesser flight capacity</t>
        </is>
      </c>
      <c r="E34" t="inlineStr">
        <is>
          <t xml:space="preserve">Aptenodytes forsteri</t>
        </is>
      </c>
      <c r="G34" t="inlineStr">
        <is>
          <t xml:space="preserve">Elementaves: Procellarimorphae</t>
        </is>
      </c>
      <c r="J34" t="inlineStr">
        <is>
          <t xml:space="preserve">toward flight loss</t>
        </is>
      </c>
      <c r="K34" t="inlineStr">
        <is>
          <t xml:space="preserve">sed.→migr.</t>
        </is>
      </c>
      <c r="L34" t="inlineStr">
        <is>
          <t xml:space="preserve">lost</t>
        </is>
      </c>
      <c r="M34" t="inlineStr">
        <is>
          <t xml:space="preserve">wing-propelled swimming (WS)</t>
        </is>
      </c>
      <c r="N34" t="inlineStr">
        <is>
          <t xml:space="preserve">wing-propelled</t>
        </is>
      </c>
      <c r="O34" t="inlineStr">
        <is>
          <t xml:space="preserve">sedentary**</t>
        </is>
      </c>
      <c r="Q34">
        <v>2</v>
      </c>
      <c r="R34" t="inlineStr">
        <is>
          <t xml:space="preserve">Aquatic</t>
        </is>
      </c>
      <c r="S34" t="inlineStr">
        <is>
          <t xml:space="preserve">Marine</t>
        </is>
      </c>
      <c r="T34">
        <v>3.690868</v>
      </c>
      <c r="U34">
        <v>5.194596</v>
      </c>
      <c r="V34">
        <v>-9.115506</v>
      </c>
      <c r="W34">
        <v>-7.036969</v>
      </c>
      <c r="X34">
        <v>33569.33</v>
      </c>
      <c r="Y34">
        <v>5911.105</v>
      </c>
      <c r="Z34">
        <v>33569.33</v>
      </c>
      <c r="AA34">
        <v>179.4</v>
      </c>
      <c r="AB34">
        <v>6.7</v>
      </c>
      <c r="AC34">
        <v>175.1</v>
      </c>
      <c r="AD34">
        <v>47.2</v>
      </c>
      <c r="AE34">
        <v>117.5</v>
      </c>
      <c r="AJ34">
        <v>1.7158</v>
      </c>
      <c r="AK34">
        <v>4.6473</v>
      </c>
      <c r="AL34">
        <v>-71.04</v>
      </c>
      <c r="AM34">
        <v>-78.26</v>
      </c>
      <c r="AN34">
        <v>-65.12</v>
      </c>
      <c r="AO34">
        <v>83236.83</v>
      </c>
      <c r="AP34">
        <v>1246104098.1</v>
      </c>
      <c r="AQ34">
        <v>14559.66</v>
      </c>
      <c r="AR34" t="inlineStr">
        <is>
          <t xml:space="preserve">AVONET (Tobias et al. 2022)</t>
        </is>
      </c>
      <c r="AS34">
        <v>16.4015</v>
      </c>
      <c r="AT34" t="inlineStr">
        <is>
          <t xml:space="preserve">Bird et al. 2020, Table S4</t>
        </is>
      </c>
    </row>
    <row r="35">
      <c r="A35" t="inlineStr">
        <is>
          <t xml:space="preserve">17 (iv)</t>
        </is>
      </c>
      <c r="B35" t="inlineStr">
        <is>
          <t xml:space="preserve">APTFOR-PELURI-FV</t>
        </is>
      </c>
      <c r="C35" t="inlineStr">
        <is>
          <t xml:space="preserve">PELURI</t>
        </is>
      </c>
      <c r="D35" t="inlineStr">
        <is>
          <t xml:space="preserve">greater flight capacity</t>
        </is>
      </c>
      <c r="E35" t="inlineStr">
        <is>
          <t xml:space="preserve">Pelecanoides urinatrix</t>
        </is>
      </c>
      <c r="G35" t="inlineStr">
        <is>
          <t xml:space="preserve">Elementaves: Procellarimorphae</t>
        </is>
      </c>
      <c r="J35" t="inlineStr">
        <is>
          <t xml:space="preserve">toward flight loss</t>
        </is>
      </c>
      <c r="K35" t="inlineStr">
        <is>
          <t xml:space="preserve">sed.→migr.</t>
        </is>
      </c>
      <c r="L35" t="inlineStr">
        <is>
          <t xml:space="preserve">volant</t>
        </is>
      </c>
      <c r="M35" t="inlineStr">
        <is>
          <t xml:space="preserve">continuous flapping (CF)</t>
        </is>
      </c>
      <c r="N35" t="inlineStr">
        <is>
          <t xml:space="preserve">wing-propelled</t>
        </is>
      </c>
      <c r="O35" t="inlineStr">
        <is>
          <t xml:space="preserve">migratory</t>
        </is>
      </c>
      <c r="P35" t="inlineStr">
        <is>
          <t xml:space="preserve">short–medium dispersive</t>
        </is>
      </c>
      <c r="Q35">
        <v>2</v>
      </c>
      <c r="R35" t="inlineStr">
        <is>
          <t xml:space="preserve">Aquatic</t>
        </is>
      </c>
      <c r="S35" t="inlineStr">
        <is>
          <t xml:space="preserve">Marine</t>
        </is>
      </c>
      <c r="T35">
        <v>47.712185</v>
      </c>
      <c r="U35">
        <v>58.581832</v>
      </c>
      <c r="V35">
        <v>-1.159088</v>
      </c>
      <c r="W35">
        <v>-2.873301</v>
      </c>
      <c r="X35">
        <v>152.06</v>
      </c>
      <c r="Y35">
        <v>1036.625</v>
      </c>
      <c r="Z35">
        <v>152.06</v>
      </c>
      <c r="AA35">
        <v>121.7</v>
      </c>
      <c r="AB35">
        <v>56.8</v>
      </c>
      <c r="AC35">
        <v>62.2</v>
      </c>
      <c r="AD35">
        <v>23.9</v>
      </c>
      <c r="AE35">
        <v>39</v>
      </c>
      <c r="AJ35">
        <v>3.1268</v>
      </c>
      <c r="AK35">
        <v>0.0263</v>
      </c>
      <c r="AL35">
        <v>-46.17</v>
      </c>
      <c r="AM35">
        <v>-63.56</v>
      </c>
      <c r="AN35">
        <v>-24.03</v>
      </c>
      <c r="AO35">
        <v>21746036.6</v>
      </c>
      <c r="AP35">
        <v>1228911136.9</v>
      </c>
      <c r="AQ35">
        <v>16931.65</v>
      </c>
      <c r="AR35" t="inlineStr">
        <is>
          <t xml:space="preserve">AVONET (Tobias et al. 2022)</t>
        </is>
      </c>
      <c r="AS35">
        <v>7.1015</v>
      </c>
      <c r="AT35" t="inlineStr">
        <is>
          <t xml:space="preserve">Bird et al. 2020, Table S4</t>
        </is>
      </c>
    </row>
    <row r="36">
      <c r="A36" t="inlineStr">
        <is>
          <t xml:space="preserve">18 (iii)</t>
        </is>
      </c>
      <c r="B36" t="inlineStr">
        <is>
          <t xml:space="preserve">NANHAR-PHACAR-FV</t>
        </is>
      </c>
      <c r="C36" t="inlineStr">
        <is>
          <t xml:space="preserve">NANHAR</t>
        </is>
      </c>
      <c r="D36" t="inlineStr">
        <is>
          <t xml:space="preserve">lesser flight capacity</t>
        </is>
      </c>
      <c r="E36" t="inlineStr">
        <is>
          <t xml:space="preserve">Nannopterum harrisi</t>
        </is>
      </c>
      <c r="G36" t="inlineStr">
        <is>
          <t xml:space="preserve">Elementaves: Pelecanimorphae</t>
        </is>
      </c>
      <c r="H36" t="inlineStr">
        <is>
          <t xml:space="preserve">Suliformes</t>
        </is>
      </c>
      <c r="I36" t="inlineStr">
        <is>
          <t xml:space="preserve">Phalacrocoridae</t>
        </is>
      </c>
      <c r="J36" t="inlineStr">
        <is>
          <t xml:space="preserve">toward flight loss</t>
        </is>
      </c>
      <c r="K36" t="inlineStr">
        <is>
          <t xml:space="preserve">sed.→migr.</t>
        </is>
      </c>
      <c r="L36" t="inlineStr">
        <is>
          <t xml:space="preserve">lost</t>
        </is>
      </c>
      <c r="M36" t="inlineStr">
        <is>
          <t xml:space="preserve">none</t>
        </is>
      </c>
      <c r="N36" t="inlineStr">
        <is>
          <t xml:space="preserve">foot-propelled</t>
        </is>
      </c>
      <c r="O36" t="inlineStr">
        <is>
          <t xml:space="preserve">sedentary</t>
        </is>
      </c>
      <c r="Q36">
        <v>1</v>
      </c>
      <c r="R36" t="inlineStr">
        <is>
          <t xml:space="preserve">Aquatic</t>
        </is>
      </c>
      <c r="S36" t="inlineStr">
        <is>
          <t xml:space="preserve">Marine</t>
        </is>
      </c>
      <c r="T36">
        <v>22.977195</v>
      </c>
      <c r="U36">
        <v>34.048913</v>
      </c>
      <c r="V36">
        <v>-4.87739</v>
      </c>
      <c r="W36">
        <v>-4.098007</v>
      </c>
      <c r="X36">
        <v>3016.62</v>
      </c>
      <c r="Y36">
        <v>2050.43</v>
      </c>
      <c r="Z36">
        <v>3016.62</v>
      </c>
      <c r="AA36">
        <v>188.8</v>
      </c>
      <c r="AB36">
        <v>43.5</v>
      </c>
      <c r="AC36">
        <v>145.2</v>
      </c>
      <c r="AD36">
        <v>70.5</v>
      </c>
      <c r="AE36">
        <v>154</v>
      </c>
      <c r="AJ36">
        <v>2.5701</v>
      </c>
      <c r="AK36">
        <v>2.1357</v>
      </c>
      <c r="AL36">
        <v>-0.38</v>
      </c>
      <c r="AM36">
        <v>-0.8</v>
      </c>
      <c r="AN36">
        <v>0.17</v>
      </c>
      <c r="AO36">
        <v>91.21</v>
      </c>
      <c r="AP36">
        <v>1192134113.1</v>
      </c>
      <c r="AQ36">
        <v>16170.98</v>
      </c>
      <c r="AR36" t="inlineStr">
        <is>
          <t xml:space="preserve">AVONET (Tobias et al. 2022)</t>
        </is>
      </c>
      <c r="AS36">
        <v>7.3826</v>
      </c>
      <c r="AT36" t="inlineStr">
        <is>
          <t xml:space="preserve">Bird et al. 2020, Table S4</t>
        </is>
      </c>
    </row>
    <row r="37">
      <c r="A37" t="inlineStr">
        <is>
          <t xml:space="preserve">18 (iii)</t>
        </is>
      </c>
      <c r="B37" t="inlineStr">
        <is>
          <t xml:space="preserve">NANHAR-PHACAR-FV</t>
        </is>
      </c>
      <c r="C37" t="inlineStr">
        <is>
          <t xml:space="preserve">PHACAR</t>
        </is>
      </c>
      <c r="D37" t="inlineStr">
        <is>
          <t xml:space="preserve">greater flight capacity</t>
        </is>
      </c>
      <c r="E37" t="inlineStr">
        <is>
          <t xml:space="preserve">Phalacrocorax carbo</t>
        </is>
      </c>
      <c r="G37" t="inlineStr">
        <is>
          <t xml:space="preserve">Elementaves: Pelecanimorphae</t>
        </is>
      </c>
      <c r="H37" t="inlineStr">
        <is>
          <t xml:space="preserve">Suliformes</t>
        </is>
      </c>
      <c r="I37" t="inlineStr">
        <is>
          <t xml:space="preserve">Phalacrocoridae</t>
        </is>
      </c>
      <c r="J37" t="inlineStr">
        <is>
          <t xml:space="preserve">toward flight loss</t>
        </is>
      </c>
      <c r="K37" t="inlineStr">
        <is>
          <t xml:space="preserve">sed.→migr.</t>
        </is>
      </c>
      <c r="L37" t="inlineStr">
        <is>
          <t xml:space="preserve">volant</t>
        </is>
      </c>
      <c r="M37" t="inlineStr">
        <is>
          <t xml:space="preserve">continuous flapping (CF)</t>
        </is>
      </c>
      <c r="N37" t="inlineStr">
        <is>
          <t xml:space="preserve">foot-propelled</t>
        </is>
      </c>
      <c r="O37" t="inlineStr">
        <is>
          <t xml:space="preserve">migratory</t>
        </is>
      </c>
      <c r="P37" t="inlineStr">
        <is>
          <t xml:space="preserve">short–medium, partial</t>
        </is>
      </c>
      <c r="Q37">
        <v>2</v>
      </c>
      <c r="R37" t="inlineStr">
        <is>
          <t xml:space="preserve">Aquatic</t>
        </is>
      </c>
      <c r="S37" t="inlineStr">
        <is>
          <t xml:space="preserve">Wetland</t>
        </is>
      </c>
      <c r="T37">
        <v>38.683469</v>
      </c>
      <c r="U37">
        <v>36.837256</v>
      </c>
      <c r="V37">
        <v>-4.180155</v>
      </c>
      <c r="W37">
        <v>-3.83289</v>
      </c>
      <c r="X37">
        <v>2528.97</v>
      </c>
      <c r="Y37">
        <v>1701.728</v>
      </c>
      <c r="Z37">
        <v>2528.97</v>
      </c>
      <c r="AA37">
        <v>340.2</v>
      </c>
      <c r="AB37">
        <v>124.2</v>
      </c>
      <c r="AC37">
        <v>211.7</v>
      </c>
      <c r="AD37">
        <v>64.2</v>
      </c>
      <c r="AE37">
        <v>148.2</v>
      </c>
      <c r="AJ37">
        <v>3.2177</v>
      </c>
      <c r="AK37">
        <v>0.7817</v>
      </c>
      <c r="AL37">
        <v>11.89</v>
      </c>
      <c r="AM37">
        <v>-47.29</v>
      </c>
      <c r="AN37">
        <v>76.41</v>
      </c>
      <c r="AO37">
        <v>24540701.98</v>
      </c>
      <c r="AP37">
        <v>1171072281.5</v>
      </c>
      <c r="AQ37">
        <v>14442.32</v>
      </c>
      <c r="AR37" t="inlineStr">
        <is>
          <t xml:space="preserve">AVONET (Tobias et al. 2022)</t>
        </is>
      </c>
      <c r="AS37">
        <v>8.7106</v>
      </c>
      <c r="AT37" t="inlineStr">
        <is>
          <t xml:space="preserve">Bird et al. 2020, Table S4</t>
        </is>
      </c>
    </row>
    <row r="38">
      <c r="A38" t="inlineStr">
        <is>
          <t xml:space="preserve">19</t>
        </is>
      </c>
      <c r="B38" t="inlineStr">
        <is>
          <t xml:space="preserve">MESCAY-NIPNIP-SM</t>
        </is>
      </c>
      <c r="C38" t="inlineStr">
        <is>
          <t xml:space="preserve">MESCAY</t>
        </is>
      </c>
      <c r="D38" t="inlineStr">
        <is>
          <t xml:space="preserve">lesser flight capacity</t>
        </is>
      </c>
      <c r="E38" t="inlineStr">
        <is>
          <t xml:space="preserve">Mesembrinibis cayennensis</t>
        </is>
      </c>
      <c r="G38" t="inlineStr">
        <is>
          <t xml:space="preserve">Elementaves: Pelecanimorphae</t>
        </is>
      </c>
      <c r="H38" t="inlineStr">
        <is>
          <t xml:space="preserve">Pelecaniformes</t>
        </is>
      </c>
      <c r="I38" t="inlineStr">
        <is>
          <t xml:space="preserve">Threskiornithidae</t>
        </is>
      </c>
      <c r="J38" t="inlineStr">
        <is>
          <t xml:space="preserve">to migratory</t>
        </is>
      </c>
      <c r="K38" t="inlineStr">
        <is>
          <t xml:space="preserve">sed.→migr.</t>
        </is>
      </c>
      <c r="L38" t="inlineStr">
        <is>
          <t xml:space="preserve">volant</t>
        </is>
      </c>
      <c r="M38" t="inlineStr">
        <is>
          <t xml:space="preserve">continuous flapping (CF)</t>
        </is>
      </c>
      <c r="O38" t="inlineStr">
        <is>
          <t xml:space="preserve">sedentary</t>
        </is>
      </c>
      <c r="Q38">
        <v>1</v>
      </c>
      <c r="R38" t="inlineStr">
        <is>
          <t xml:space="preserve">Terrestrial</t>
        </is>
      </c>
      <c r="S38" t="inlineStr">
        <is>
          <t xml:space="preserve">Forest</t>
        </is>
      </c>
      <c r="T38">
        <v>24.948676</v>
      </c>
      <c r="U38">
        <v>34.601888</v>
      </c>
      <c r="V38">
        <v>-3.411221</v>
      </c>
      <c r="W38">
        <v>-3.528804</v>
      </c>
      <c r="X38">
        <v>756</v>
      </c>
      <c r="Y38">
        <v>1179.343</v>
      </c>
      <c r="Z38">
        <v>756</v>
      </c>
      <c r="AA38">
        <v>296.1</v>
      </c>
      <c r="AB38">
        <v>76.6</v>
      </c>
      <c r="AC38">
        <v>229.5</v>
      </c>
      <c r="AD38">
        <v>60.3</v>
      </c>
      <c r="AE38">
        <v>153.3</v>
      </c>
      <c r="AJ38">
        <v>3.4814</v>
      </c>
      <c r="AK38">
        <v>-0.1482</v>
      </c>
      <c r="AL38">
        <v>-7.9</v>
      </c>
      <c r="AM38">
        <v>-29.1</v>
      </c>
      <c r="AN38">
        <v>15.41</v>
      </c>
      <c r="AO38">
        <v>10576805.93</v>
      </c>
      <c r="AP38">
        <v>1206704702.2</v>
      </c>
      <c r="AQ38">
        <v>16103.07</v>
      </c>
      <c r="AR38" t="inlineStr">
        <is>
          <t xml:space="preserve">AVONET (Tobias et al. 2022)</t>
        </is>
      </c>
      <c r="AS38">
        <v>5.7600</v>
      </c>
      <c r="AT38" t="inlineStr">
        <is>
          <t xml:space="preserve">Bird et al. 2020, Table S4</t>
        </is>
      </c>
    </row>
    <row r="39">
      <c r="A39" t="inlineStr">
        <is>
          <t xml:space="preserve">19</t>
        </is>
      </c>
      <c r="B39" t="inlineStr">
        <is>
          <t xml:space="preserve">MESCAY-NIPNIP-SM</t>
        </is>
      </c>
      <c r="C39" t="inlineStr">
        <is>
          <t xml:space="preserve">NIPNIP</t>
        </is>
      </c>
      <c r="D39" t="inlineStr">
        <is>
          <t xml:space="preserve">greater flight capacity</t>
        </is>
      </c>
      <c r="E39" t="inlineStr">
        <is>
          <t xml:space="preserve">Nipponia nippon</t>
        </is>
      </c>
      <c r="G39" t="inlineStr">
        <is>
          <t xml:space="preserve">Elementaves: Pelecanimorphae</t>
        </is>
      </c>
      <c r="H39" t="inlineStr">
        <is>
          <t xml:space="preserve">Pelecaniformes</t>
        </is>
      </c>
      <c r="I39" t="inlineStr">
        <is>
          <t xml:space="preserve">Threskiornithidae</t>
        </is>
      </c>
      <c r="J39" t="inlineStr">
        <is>
          <t xml:space="preserve">to migratory</t>
        </is>
      </c>
      <c r="K39" t="inlineStr">
        <is>
          <t xml:space="preserve">sed.→migr.</t>
        </is>
      </c>
      <c r="L39" t="inlineStr">
        <is>
          <t xml:space="preserve">volant</t>
        </is>
      </c>
      <c r="M39" t="inlineStr">
        <is>
          <t xml:space="preserve">flap-gliding (FG)</t>
        </is>
      </c>
      <c r="O39" t="inlineStr">
        <is>
          <t xml:space="preserve">migratory***</t>
        </is>
      </c>
      <c r="P39" t="inlineStr">
        <is>
          <t xml:space="preserve">medium, partial***</t>
        </is>
      </c>
      <c r="Q39">
        <v>1</v>
      </c>
      <c r="R39" t="inlineStr">
        <is>
          <t xml:space="preserve">Terrestrial</t>
        </is>
      </c>
      <c r="S39" t="inlineStr">
        <is>
          <t xml:space="preserve">Wetland</t>
        </is>
      </c>
      <c r="T39">
        <v>36.21471</v>
      </c>
      <c r="U39">
        <v>35.445884</v>
      </c>
      <c r="V39">
        <v>-3.960144</v>
      </c>
      <c r="W39">
        <v>-3.67352</v>
      </c>
      <c r="X39">
        <v>1900</v>
      </c>
      <c r="Y39">
        <v>1396.225</v>
      </c>
      <c r="Z39">
        <v>1900</v>
      </c>
      <c r="AA39">
        <v>392.6</v>
      </c>
      <c r="AB39">
        <v>142.8</v>
      </c>
      <c r="AC39">
        <v>251.9</v>
      </c>
      <c r="AD39">
        <v>78</v>
      </c>
      <c r="AE39">
        <v>145.4</v>
      </c>
      <c r="AJ39">
        <v>3.4563</v>
      </c>
      <c r="AK39">
        <v>0.2092</v>
      </c>
      <c r="AL39">
        <v>33.28</v>
      </c>
      <c r="AM39">
        <v>33.14</v>
      </c>
      <c r="AN39">
        <v>33.44</v>
      </c>
      <c r="AO39">
        <v>1119.51</v>
      </c>
      <c r="AP39">
        <v>1245255772</v>
      </c>
      <c r="AQ39">
        <v>14519.97</v>
      </c>
      <c r="AR39" t="inlineStr">
        <is>
          <t xml:space="preserve">AVONET (Tobias et al. 2022)</t>
        </is>
      </c>
      <c r="AS39">
        <v>7.3888</v>
      </c>
      <c r="AT39" t="inlineStr">
        <is>
          <t xml:space="preserve">Bird et al. 2020, Table S4</t>
        </is>
      </c>
    </row>
    <row r="40">
      <c r="A40" t="inlineStr">
        <is>
          <t xml:space="preserve">20</t>
        </is>
      </c>
      <c r="B40" t="inlineStr">
        <is>
          <t xml:space="preserve">SCOUMB-PELCRI-SM</t>
        </is>
      </c>
      <c r="C40" t="inlineStr">
        <is>
          <t xml:space="preserve">SCOUMB</t>
        </is>
      </c>
      <c r="D40" t="inlineStr">
        <is>
          <t xml:space="preserve">lesser flight capacity</t>
        </is>
      </c>
      <c r="E40" t="inlineStr">
        <is>
          <t xml:space="preserve">Scopus umbretta</t>
        </is>
      </c>
      <c r="G40" t="inlineStr">
        <is>
          <t xml:space="preserve">Elementaves: Pelecanimorphae</t>
        </is>
      </c>
      <c r="H40" t="inlineStr">
        <is>
          <t xml:space="preserve">Pelecaniformes</t>
        </is>
      </c>
      <c r="J40" t="inlineStr">
        <is>
          <t xml:space="preserve">to migratory</t>
        </is>
      </c>
      <c r="K40" t="inlineStr">
        <is>
          <t xml:space="preserve">sed.→migr.</t>
        </is>
      </c>
      <c r="L40" t="inlineStr">
        <is>
          <t xml:space="preserve">volant</t>
        </is>
      </c>
      <c r="M40" t="inlineStr">
        <is>
          <t xml:space="preserve">flap-gliding (FG)</t>
        </is>
      </c>
      <c r="O40" t="inlineStr">
        <is>
          <t xml:space="preserve">sedentary</t>
        </is>
      </c>
      <c r="Q40">
        <v>2</v>
      </c>
      <c r="R40" t="inlineStr">
        <is>
          <t xml:space="preserve">Terrestrial</t>
        </is>
      </c>
      <c r="S40" t="inlineStr">
        <is>
          <t xml:space="preserve">Wetland</t>
        </is>
      </c>
      <c r="T40">
        <v>36.07841</v>
      </c>
      <c r="U40">
        <v>36.07841</v>
      </c>
      <c r="V40">
        <v>-2.571284</v>
      </c>
      <c r="W40">
        <v>-2.571284</v>
      </c>
      <c r="X40">
        <v>472</v>
      </c>
      <c r="Y40">
        <v>472</v>
      </c>
      <c r="Z40">
        <v>472</v>
      </c>
      <c r="AA40">
        <v>293.2</v>
      </c>
      <c r="AB40">
        <v>108</v>
      </c>
      <c r="AC40">
        <v>191</v>
      </c>
      <c r="AD40">
        <v>65.6</v>
      </c>
      <c r="AE40">
        <v>154.1</v>
      </c>
      <c r="AJ40">
        <v>3.6285</v>
      </c>
      <c r="AK40">
        <v>-0.5996</v>
      </c>
      <c r="AL40">
        <v>-2.88</v>
      </c>
      <c r="AM40">
        <v>-34.84</v>
      </c>
      <c r="AN40">
        <v>20.89</v>
      </c>
      <c r="AO40">
        <v>19881333.45</v>
      </c>
      <c r="AP40">
        <v>1150644276.7</v>
      </c>
      <c r="AQ40">
        <v>15051.44</v>
      </c>
      <c r="AR40" t="inlineStr">
        <is>
          <t xml:space="preserve">AVONET (Tobias et al. 2022)</t>
        </is>
      </c>
      <c r="AS40">
        <v>4.4877</v>
      </c>
      <c r="AT40" t="inlineStr">
        <is>
          <t xml:space="preserve">Bird et al. 2020, Table S4</t>
        </is>
      </c>
    </row>
    <row r="41">
      <c r="A41" t="inlineStr">
        <is>
          <t xml:space="preserve">20</t>
        </is>
      </c>
      <c r="B41" t="inlineStr">
        <is>
          <t xml:space="preserve">SCOUMB-PELCRI-SM</t>
        </is>
      </c>
      <c r="C41" t="inlineStr">
        <is>
          <t xml:space="preserve">PELCRI</t>
        </is>
      </c>
      <c r="D41" t="inlineStr">
        <is>
          <t xml:space="preserve">greater flight capacity</t>
        </is>
      </c>
      <c r="E41" t="inlineStr">
        <is>
          <t xml:space="preserve">Pelecanus crispus</t>
        </is>
      </c>
      <c r="G41" t="inlineStr">
        <is>
          <t xml:space="preserve">Elementaves: Pelecanimorphae</t>
        </is>
      </c>
      <c r="H41" t="inlineStr">
        <is>
          <t xml:space="preserve">Pelecaniformes</t>
        </is>
      </c>
      <c r="J41" t="inlineStr">
        <is>
          <t xml:space="preserve">to migratory</t>
        </is>
      </c>
      <c r="K41" t="inlineStr">
        <is>
          <t xml:space="preserve">sed.→migr.</t>
        </is>
      </c>
      <c r="L41" t="inlineStr">
        <is>
          <t xml:space="preserve">volant</t>
        </is>
      </c>
      <c r="M41" t="inlineStr">
        <is>
          <t xml:space="preserve">flap-gliding (FG)</t>
        </is>
      </c>
      <c r="N41" t="inlineStr">
        <is>
          <t xml:space="preserve">foot-propelled</t>
        </is>
      </c>
      <c r="O41" t="inlineStr">
        <is>
          <t xml:space="preserve">migratory</t>
        </is>
      </c>
      <c r="P41" t="inlineStr">
        <is>
          <t xml:space="preserve">medium, partial</t>
        </is>
      </c>
      <c r="Q41">
        <v>2</v>
      </c>
      <c r="R41" t="inlineStr">
        <is>
          <t xml:space="preserve">Aquatic</t>
        </is>
      </c>
      <c r="S41" t="inlineStr">
        <is>
          <t xml:space="preserve">Wetland</t>
        </is>
      </c>
      <c r="T41">
        <v>43.285929</v>
      </c>
      <c r="U41">
        <v>44.832231</v>
      </c>
      <c r="V41">
        <v>-5.392491</v>
      </c>
      <c r="W41">
        <v>-4.880504</v>
      </c>
      <c r="X41">
        <v>9512.09</v>
      </c>
      <c r="Y41">
        <v>5904.271</v>
      </c>
      <c r="Z41">
        <v>9512.09</v>
      </c>
      <c r="AA41">
        <v>687</v>
      </c>
      <c r="AB41">
        <v>297.5</v>
      </c>
      <c r="AC41">
        <v>390.2</v>
      </c>
      <c r="AD41">
        <v>115.2</v>
      </c>
      <c r="AE41">
        <v>197.9</v>
      </c>
      <c r="AJ41">
        <v>3.4789</v>
      </c>
      <c r="AK41">
        <v>0.7008</v>
      </c>
      <c r="AL41">
        <v>49</v>
      </c>
      <c r="AM41">
        <v>30</v>
      </c>
      <c r="AN41">
        <v>57.39</v>
      </c>
      <c r="AO41">
        <v>3326029.46</v>
      </c>
      <c r="AP41">
        <v>1185649867.8</v>
      </c>
      <c r="AQ41">
        <v>15141.35</v>
      </c>
      <c r="AR41" t="inlineStr">
        <is>
          <t xml:space="preserve">AVONET (Tobias et al. 2022)</t>
        </is>
      </c>
      <c r="AS41">
        <v>13.2360</v>
      </c>
      <c r="AT41" t="inlineStr">
        <is>
          <t xml:space="preserve">Bird et al. 2020, Table S4</t>
        </is>
      </c>
    </row>
    <row r="42">
      <c r="A42" t="inlineStr">
        <is>
          <t xml:space="preserve">21</t>
        </is>
      </c>
      <c r="B42" t="inlineStr">
        <is>
          <t xml:space="preserve">COCCOC-EGRGAR-SM</t>
        </is>
      </c>
      <c r="C42" t="inlineStr">
        <is>
          <t xml:space="preserve">COCCOC</t>
        </is>
      </c>
      <c r="D42" t="inlineStr">
        <is>
          <t xml:space="preserve">lesser flight capacity</t>
        </is>
      </c>
      <c r="E42" t="inlineStr">
        <is>
          <t xml:space="preserve">Cochlearius cochlearius</t>
        </is>
      </c>
      <c r="G42" t="inlineStr">
        <is>
          <t xml:space="preserve">Elementaves: Pelecanimorphae</t>
        </is>
      </c>
      <c r="H42" t="inlineStr">
        <is>
          <t xml:space="preserve">Pelecaniformes</t>
        </is>
      </c>
      <c r="I42" t="inlineStr">
        <is>
          <t xml:space="preserve">Ardeidae</t>
        </is>
      </c>
      <c r="J42" t="inlineStr">
        <is>
          <t xml:space="preserve">to migratory</t>
        </is>
      </c>
      <c r="K42" t="inlineStr">
        <is>
          <t xml:space="preserve">sed.→migr.</t>
        </is>
      </c>
      <c r="L42" t="inlineStr">
        <is>
          <t xml:space="preserve">volant</t>
        </is>
      </c>
      <c r="M42" t="inlineStr">
        <is>
          <t xml:space="preserve">flap-gliding (FG)</t>
        </is>
      </c>
      <c r="O42" t="inlineStr">
        <is>
          <t xml:space="preserve">sedentary</t>
        </is>
      </c>
      <c r="Q42">
        <v>1</v>
      </c>
      <c r="R42" t="inlineStr">
        <is>
          <t xml:space="preserve">Terrestrial</t>
        </is>
      </c>
      <c r="S42" t="inlineStr">
        <is>
          <t xml:space="preserve">Wetland</t>
        </is>
      </c>
      <c r="T42">
        <v>28.257247</v>
      </c>
      <c r="U42">
        <v>28.257247</v>
      </c>
      <c r="V42">
        <v>-3.125121</v>
      </c>
      <c r="W42">
        <v>-3.125121</v>
      </c>
      <c r="X42">
        <v>643.21</v>
      </c>
      <c r="Y42">
        <v>643.21</v>
      </c>
      <c r="Z42">
        <v>643.21</v>
      </c>
      <c r="AA42">
        <v>264.6</v>
      </c>
      <c r="AB42">
        <v>77.5</v>
      </c>
      <c r="AC42">
        <v>197</v>
      </c>
      <c r="AD42">
        <v>78.3</v>
      </c>
      <c r="AE42">
        <v>117</v>
      </c>
      <c r="AJ42">
        <v>3.4227</v>
      </c>
      <c r="AK42">
        <v>-0.0848</v>
      </c>
      <c r="AL42">
        <v>-4.95</v>
      </c>
      <c r="AM42">
        <v>-26.98</v>
      </c>
      <c r="AN42">
        <v>24.4</v>
      </c>
      <c r="AO42">
        <v>11698377.4</v>
      </c>
      <c r="AP42">
        <v>1168969818.6</v>
      </c>
      <c r="AQ42">
        <v>15326.57</v>
      </c>
      <c r="AR42" t="inlineStr">
        <is>
          <t xml:space="preserve">AVONET (Tobias et al. 2022)</t>
        </is>
      </c>
      <c r="AS42">
        <v>5.7420</v>
      </c>
      <c r="AT42" t="inlineStr">
        <is>
          <t xml:space="preserve">Bird et al. 2020, Table S4</t>
        </is>
      </c>
    </row>
    <row r="43">
      <c r="A43" t="inlineStr">
        <is>
          <t xml:space="preserve">21</t>
        </is>
      </c>
      <c r="B43" t="inlineStr">
        <is>
          <t xml:space="preserve">COCCOC-EGRGAR-SM</t>
        </is>
      </c>
      <c r="C43" t="inlineStr">
        <is>
          <t xml:space="preserve">EGRGAR</t>
        </is>
      </c>
      <c r="D43" t="inlineStr">
        <is>
          <t xml:space="preserve">greater flight capacity</t>
        </is>
      </c>
      <c r="E43" t="inlineStr">
        <is>
          <t xml:space="preserve">Egretta garzetta</t>
        </is>
      </c>
      <c r="G43" t="inlineStr">
        <is>
          <t xml:space="preserve">Elementaves: Pelecanimorphae</t>
        </is>
      </c>
      <c r="H43" t="inlineStr">
        <is>
          <t xml:space="preserve">Pelecaniformes</t>
        </is>
      </c>
      <c r="I43" t="inlineStr">
        <is>
          <t xml:space="preserve">Ardeidae</t>
        </is>
      </c>
      <c r="J43" t="inlineStr">
        <is>
          <t xml:space="preserve">to migratory</t>
        </is>
      </c>
      <c r="K43" t="inlineStr">
        <is>
          <t xml:space="preserve">sed.→migr.</t>
        </is>
      </c>
      <c r="L43" t="inlineStr">
        <is>
          <t xml:space="preserve">volant</t>
        </is>
      </c>
      <c r="M43" t="inlineStr">
        <is>
          <t xml:space="preserve">flap-gliding (FG)</t>
        </is>
      </c>
      <c r="O43" t="inlineStr">
        <is>
          <t xml:space="preserve">migratory</t>
        </is>
      </c>
      <c r="P43" t="inlineStr">
        <is>
          <t xml:space="preserve">short–medium, partial</t>
        </is>
      </c>
      <c r="Q43">
        <v>2</v>
      </c>
      <c r="R43" t="inlineStr">
        <is>
          <t xml:space="preserve">Terrestrial</t>
        </is>
      </c>
      <c r="S43" t="inlineStr">
        <is>
          <t xml:space="preserve">Wetland</t>
        </is>
      </c>
      <c r="T43">
        <v>33.096866</v>
      </c>
      <c r="U43">
        <v>31.781412</v>
      </c>
      <c r="V43">
        <v>-2.243565</v>
      </c>
      <c r="W43">
        <v>-3.059751</v>
      </c>
      <c r="X43">
        <v>312</v>
      </c>
      <c r="Y43">
        <v>677.651</v>
      </c>
      <c r="Z43">
        <v>312</v>
      </c>
      <c r="AA43">
        <v>252.5</v>
      </c>
      <c r="AB43">
        <v>82.8</v>
      </c>
      <c r="AC43">
        <v>167.2</v>
      </c>
      <c r="AD43">
        <v>98.8</v>
      </c>
      <c r="AE43">
        <v>94.2</v>
      </c>
      <c r="AJ43">
        <v>3.6171</v>
      </c>
      <c r="AK43">
        <v>-0.7146</v>
      </c>
      <c r="AL43">
        <v>5.46</v>
      </c>
      <c r="AM43">
        <v>-43.64</v>
      </c>
      <c r="AN43">
        <v>55.12</v>
      </c>
      <c r="AO43">
        <v>34141787.35</v>
      </c>
      <c r="AP43">
        <v>1203160495.6</v>
      </c>
      <c r="AQ43">
        <v>14323.29</v>
      </c>
      <c r="AR43" t="inlineStr">
        <is>
          <t xml:space="preserve">AVONET (Tobias et al. 2022)</t>
        </is>
      </c>
      <c r="AS43">
        <v>4.2432</v>
      </c>
      <c r="AT43" t="inlineStr">
        <is>
          <t xml:space="preserve">Bird et al. 2020, Table S4</t>
        </is>
      </c>
    </row>
    <row r="44">
      <c r="A44" t="inlineStr">
        <is>
          <t xml:space="preserve">22</t>
        </is>
      </c>
      <c r="B44" t="inlineStr">
        <is>
          <t xml:space="preserve">ANTCAR-CHOACU-VV</t>
        </is>
      </c>
      <c r="C44" t="inlineStr">
        <is>
          <t xml:space="preserve">CHOACU</t>
        </is>
      </c>
      <c r="D44" t="inlineStr">
        <is>
          <t xml:space="preserve">lesser flight capacity</t>
        </is>
      </c>
      <c r="E44" t="inlineStr">
        <is>
          <t xml:space="preserve">Chordeiles acutipennis</t>
        </is>
      </c>
      <c r="G44" t="inlineStr">
        <is>
          <t xml:space="preserve">Elementaves: Strisores</t>
        </is>
      </c>
      <c r="H44" t="inlineStr">
        <is>
          <t xml:space="preserve">Caprimulgiformes</t>
        </is>
      </c>
      <c r="I44" t="inlineStr">
        <is>
          <t xml:space="preserve">Caprimulgidae</t>
        </is>
      </c>
      <c r="J44" t="inlineStr">
        <is>
          <t xml:space="preserve">minimal</t>
        </is>
      </c>
      <c r="K44" t="inlineStr">
        <is>
          <t xml:space="preserve">N/A (migr.)</t>
        </is>
      </c>
      <c r="L44" t="inlineStr">
        <is>
          <t xml:space="preserve">volant</t>
        </is>
      </c>
      <c r="M44" t="inlineStr">
        <is>
          <t xml:space="preserve">flap-gliding (FG)</t>
        </is>
      </c>
      <c r="O44" t="inlineStr">
        <is>
          <t xml:space="preserve">migratory</t>
        </is>
      </c>
      <c r="P44" t="inlineStr">
        <is>
          <t xml:space="preserve">short–medium, partial</t>
        </is>
      </c>
      <c r="Q44">
        <v>2</v>
      </c>
      <c r="R44" t="inlineStr">
        <is>
          <t xml:space="preserve">Aerial</t>
        </is>
      </c>
      <c r="S44" t="inlineStr">
        <is>
          <t xml:space="preserve">Shrubland</t>
        </is>
      </c>
      <c r="T44">
        <v>55.126183</v>
      </c>
      <c r="U44">
        <v>44.006421</v>
      </c>
      <c r="V44">
        <v>0.129712</v>
      </c>
      <c r="W44">
        <v>-0.190925</v>
      </c>
      <c r="X44">
        <v>48.42</v>
      </c>
      <c r="Y44">
        <v>53.264</v>
      </c>
      <c r="Z44">
        <v>48.42</v>
      </c>
      <c r="AA44">
        <v>164.8</v>
      </c>
      <c r="AB44">
        <v>92.5</v>
      </c>
      <c r="AC44">
        <v>75</v>
      </c>
      <c r="AD44">
        <v>11.7</v>
      </c>
      <c r="AE44">
        <v>100.6</v>
      </c>
      <c r="AJ44">
        <v>3.8114</v>
      </c>
      <c r="AK44">
        <v>-1.7244</v>
      </c>
      <c r="AL44">
        <v>3.21</v>
      </c>
      <c r="AM44">
        <v>-24.87</v>
      </c>
      <c r="AN44">
        <v>40.6</v>
      </c>
      <c r="AO44">
        <v>10568175.91</v>
      </c>
      <c r="AP44">
        <v>1173242260.9</v>
      </c>
      <c r="AQ44">
        <v>15729.44</v>
      </c>
      <c r="AR44" t="inlineStr">
        <is>
          <t xml:space="preserve">AVONET (Tobias et al. 2022)</t>
        </is>
      </c>
      <c r="AS44">
        <v>3.3614</v>
      </c>
      <c r="AT44" t="inlineStr">
        <is>
          <t xml:space="preserve">Bird et al. 2020, Table S4</t>
        </is>
      </c>
    </row>
    <row r="45">
      <c r="A45" t="inlineStr">
        <is>
          <t xml:space="preserve">22</t>
        </is>
      </c>
      <c r="B45" t="inlineStr">
        <is>
          <t xml:space="preserve">ANTCAR-CHOACU-VV</t>
        </is>
      </c>
      <c r="C45" t="inlineStr">
        <is>
          <t xml:space="preserve">ANTCAR</t>
        </is>
      </c>
      <c r="D45" t="inlineStr">
        <is>
          <t xml:space="preserve">greater flight capacity</t>
        </is>
      </c>
      <c r="E45" t="inlineStr">
        <is>
          <t xml:space="preserve">Antrostomus carolinensis</t>
        </is>
      </c>
      <c r="G45" t="inlineStr">
        <is>
          <t xml:space="preserve">Elementaves: Strisores</t>
        </is>
      </c>
      <c r="H45" t="inlineStr">
        <is>
          <t xml:space="preserve">Caprimulgiformes</t>
        </is>
      </c>
      <c r="I45" t="inlineStr">
        <is>
          <t xml:space="preserve">Caprimulgidae</t>
        </is>
      </c>
      <c r="J45" t="inlineStr">
        <is>
          <t xml:space="preserve">minimal</t>
        </is>
      </c>
      <c r="K45" t="inlineStr">
        <is>
          <t xml:space="preserve">N/A (migr.)</t>
        </is>
      </c>
      <c r="L45" t="inlineStr">
        <is>
          <t xml:space="preserve">volant</t>
        </is>
      </c>
      <c r="M45" t="inlineStr">
        <is>
          <t xml:space="preserve">flap-gliding (FG)</t>
        </is>
      </c>
      <c r="O45" t="inlineStr">
        <is>
          <t xml:space="preserve">migratory</t>
        </is>
      </c>
      <c r="P45" t="inlineStr">
        <is>
          <t xml:space="preserve">medium</t>
        </is>
      </c>
      <c r="Q45">
        <v>3</v>
      </c>
      <c r="R45" t="inlineStr">
        <is>
          <t xml:space="preserve">Aerial</t>
        </is>
      </c>
      <c r="S45" t="inlineStr">
        <is>
          <t xml:space="preserve">Woodland</t>
        </is>
      </c>
      <c r="T45">
        <v>51.509602</v>
      </c>
      <c r="U45">
        <v>54.179899</v>
      </c>
      <c r="V45">
        <v>-0.74958</v>
      </c>
      <c r="W45">
        <v>-0.049957</v>
      </c>
      <c r="X45">
        <v>109</v>
      </c>
      <c r="Y45">
        <v>56.955</v>
      </c>
      <c r="Z45">
        <v>109</v>
      </c>
      <c r="AA45">
        <v>207.7</v>
      </c>
      <c r="AB45">
        <v>106.2</v>
      </c>
      <c r="AC45">
        <v>100.1</v>
      </c>
      <c r="AD45">
        <v>17.5</v>
      </c>
      <c r="AE45">
        <v>141.1</v>
      </c>
      <c r="AJ45">
        <v>3.7723</v>
      </c>
      <c r="AK45">
        <v>-1.3757</v>
      </c>
      <c r="AL45">
        <v>33.91</v>
      </c>
      <c r="AM45">
        <v>24.95</v>
      </c>
      <c r="AN45">
        <v>42.41</v>
      </c>
      <c r="AO45">
        <v>1808676.44</v>
      </c>
      <c r="AP45">
        <v>1161894612.4</v>
      </c>
      <c r="AQ45">
        <v>15269.16</v>
      </c>
      <c r="AR45" t="inlineStr">
        <is>
          <t xml:space="preserve">AVONET (Tobias et al. 2022)</t>
        </is>
      </c>
      <c r="AS45">
        <v>4.0557</v>
      </c>
      <c r="AT45" t="inlineStr">
        <is>
          <t xml:space="preserve">Bird et al. 2020, Table S4</t>
        </is>
      </c>
    </row>
    <row r="46">
      <c r="A46" t="inlineStr">
        <is>
          <t xml:space="preserve">23 (ii)</t>
        </is>
      </c>
      <c r="B46" t="inlineStr">
        <is>
          <t xml:space="preserve">HEMCOM-CHAPEL-SM</t>
        </is>
      </c>
      <c r="C46" t="inlineStr">
        <is>
          <t xml:space="preserve">HEMCOM</t>
        </is>
      </c>
      <c r="D46" t="inlineStr">
        <is>
          <t xml:space="preserve">lesser flight capacity</t>
        </is>
      </c>
      <c r="E46" t="inlineStr">
        <is>
          <t xml:space="preserve">Hemiprocne comata</t>
        </is>
      </c>
      <c r="G46" t="inlineStr">
        <is>
          <t xml:space="preserve">Elementaves: Strisores</t>
        </is>
      </c>
      <c r="H46" t="inlineStr">
        <is>
          <t xml:space="preserve">Apodiformes</t>
        </is>
      </c>
      <c r="I46" t="inlineStr">
        <is>
          <t xml:space="preserve">Apodidae</t>
        </is>
      </c>
      <c r="J46" t="inlineStr">
        <is>
          <t xml:space="preserve">to migratory</t>
        </is>
      </c>
      <c r="K46" t="inlineStr">
        <is>
          <t xml:space="preserve">sed.→migr.</t>
        </is>
      </c>
      <c r="L46" t="inlineStr">
        <is>
          <t xml:space="preserve">volant</t>
        </is>
      </c>
      <c r="M46" t="inlineStr">
        <is>
          <t xml:space="preserve">flap-gliding (FG)</t>
        </is>
      </c>
      <c r="O46" t="inlineStr">
        <is>
          <t xml:space="preserve">sedentary</t>
        </is>
      </c>
      <c r="Q46">
        <v>1</v>
      </c>
      <c r="R46" t="inlineStr">
        <is>
          <t xml:space="preserve">Insessorial</t>
        </is>
      </c>
      <c r="S46" t="inlineStr">
        <is>
          <t xml:space="preserve">Forest</t>
        </is>
      </c>
      <c r="T46">
        <v>56.200157</v>
      </c>
      <c r="U46">
        <v>64.052864</v>
      </c>
      <c r="V46">
        <v>1.002173</v>
      </c>
      <c r="W46">
        <v>0.45514</v>
      </c>
      <c r="X46">
        <v>20.63</v>
      </c>
      <c r="Y46">
        <v>40.633</v>
      </c>
      <c r="Z46">
        <v>20.63</v>
      </c>
      <c r="AA46">
        <v>128.8</v>
      </c>
      <c r="AB46">
        <v>68.8</v>
      </c>
      <c r="AC46">
        <v>53.6</v>
      </c>
      <c r="AD46">
        <v>6.2</v>
      </c>
      <c r="AE46">
        <v>75</v>
      </c>
      <c r="AJ46">
        <v>3.8493</v>
      </c>
      <c r="AK46">
        <v>-2.0846</v>
      </c>
      <c r="AL46">
        <v>2.8</v>
      </c>
      <c r="AM46">
        <v>-5.95</v>
      </c>
      <c r="AN46">
        <v>18.65</v>
      </c>
      <c r="AO46">
        <v>1482225.39</v>
      </c>
      <c r="AP46">
        <v>1152101287.4</v>
      </c>
      <c r="AQ46">
        <v>15790.94</v>
      </c>
      <c r="AR46" t="inlineStr">
        <is>
          <t xml:space="preserve">AVONET (Tobias et al. 2022)</t>
        </is>
      </c>
      <c r="AS46">
        <v>2.5461</v>
      </c>
      <c r="AT46" t="inlineStr">
        <is>
          <t xml:space="preserve">Bird et al. 2020, Table S4</t>
        </is>
      </c>
    </row>
    <row r="47">
      <c r="A47" t="inlineStr">
        <is>
          <t xml:space="preserve">23 (ii)</t>
        </is>
      </c>
      <c r="B47" t="inlineStr">
        <is>
          <t xml:space="preserve">HEMCOM-CHAPEL-SM</t>
        </is>
      </c>
      <c r="C47" t="inlineStr">
        <is>
          <t xml:space="preserve">CHAPEL</t>
        </is>
      </c>
      <c r="D47" t="inlineStr">
        <is>
          <t xml:space="preserve">greater flight capacity</t>
        </is>
      </c>
      <c r="E47" t="inlineStr">
        <is>
          <t xml:space="preserve">Chaetura pelagica</t>
        </is>
      </c>
      <c r="G47" t="inlineStr">
        <is>
          <t xml:space="preserve">Elementaves: Strisores</t>
        </is>
      </c>
      <c r="H47" t="inlineStr">
        <is>
          <t xml:space="preserve">Apodiformes</t>
        </is>
      </c>
      <c r="I47" t="inlineStr">
        <is>
          <t xml:space="preserve">Apodidae</t>
        </is>
      </c>
      <c r="J47" t="inlineStr">
        <is>
          <t xml:space="preserve">to migratory</t>
        </is>
      </c>
      <c r="K47" t="inlineStr">
        <is>
          <t xml:space="preserve">sed.→migr.</t>
        </is>
      </c>
      <c r="L47" t="inlineStr">
        <is>
          <t xml:space="preserve">volant</t>
        </is>
      </c>
      <c r="M47" t="inlineStr">
        <is>
          <t xml:space="preserve">flap-gliding (FG)</t>
        </is>
      </c>
      <c r="O47" t="inlineStr">
        <is>
          <t xml:space="preserve">migratory</t>
        </is>
      </c>
      <c r="P47" t="inlineStr">
        <is>
          <t xml:space="preserve">long</t>
        </is>
      </c>
      <c r="Q47">
        <v>3</v>
      </c>
      <c r="R47" t="inlineStr">
        <is>
          <t xml:space="preserve">Aerial</t>
        </is>
      </c>
      <c r="S47" t="inlineStr">
        <is>
          <t xml:space="preserve">Human Modified</t>
        </is>
      </c>
      <c r="T47">
        <v>70.324757</v>
      </c>
      <c r="U47">
        <v>67.520183</v>
      </c>
      <c r="V47">
        <v>1.091877</v>
      </c>
      <c r="W47">
        <v>0.789239</v>
      </c>
      <c r="X47">
        <v>23.6</v>
      </c>
      <c r="Y47">
        <v>30.667</v>
      </c>
      <c r="Z47">
        <v>23.6</v>
      </c>
      <c r="AA47">
        <v>124.4</v>
      </c>
      <c r="AB47">
        <v>86.8</v>
      </c>
      <c r="AC47">
        <v>36.6</v>
      </c>
      <c r="AD47">
        <v>11.6</v>
      </c>
      <c r="AE47">
        <v>43.8</v>
      </c>
      <c r="AF47">
        <v>104</v>
      </c>
      <c r="AG47">
        <v>17.3</v>
      </c>
      <c r="AH47">
        <v>0.166</v>
      </c>
      <c r="AI47" t="inlineStr">
        <is>
          <t xml:space="preserve">Poole 1938</t>
        </is>
      </c>
      <c r="AJ47">
        <v>3.7698</v>
      </c>
      <c r="AK47">
        <v>-1.8806</v>
      </c>
      <c r="AL47">
        <v>40.95</v>
      </c>
      <c r="AM47">
        <v>25.48</v>
      </c>
      <c r="AN47">
        <v>53.93</v>
      </c>
      <c r="AO47">
        <v>5841319.17</v>
      </c>
      <c r="AP47">
        <v>1115395380.5</v>
      </c>
      <c r="AQ47">
        <v>14128.89</v>
      </c>
      <c r="AR47" t="inlineStr">
        <is>
          <t xml:space="preserve">AVONET (Tobias et al. 2022)</t>
        </is>
      </c>
      <c r="AS47">
        <v>3.0094</v>
      </c>
      <c r="AT47" t="inlineStr">
        <is>
          <t xml:space="preserve">Bird et al. 2020, Table S4</t>
        </is>
      </c>
    </row>
    <row r="48">
      <c r="A48" t="inlineStr">
        <is>
          <t xml:space="preserve">24</t>
        </is>
      </c>
      <c r="B48" t="inlineStr">
        <is>
          <t xml:space="preserve">OREMEL-CALANN-SM</t>
        </is>
      </c>
      <c r="C48" t="inlineStr">
        <is>
          <t xml:space="preserve">OREMEL</t>
        </is>
      </c>
      <c r="D48" t="inlineStr">
        <is>
          <t xml:space="preserve">lesser flight capacity</t>
        </is>
      </c>
      <c r="E48" t="inlineStr">
        <is>
          <t xml:space="preserve">Oreotrochilus melanogaster</t>
        </is>
      </c>
      <c r="G48" t="inlineStr">
        <is>
          <t xml:space="preserve">Elementaves: Strisores</t>
        </is>
      </c>
      <c r="H48" t="inlineStr">
        <is>
          <t xml:space="preserve">Apodiformes</t>
        </is>
      </c>
      <c r="I48" t="inlineStr">
        <is>
          <t xml:space="preserve">Trochilidae</t>
        </is>
      </c>
      <c r="J48" t="inlineStr">
        <is>
          <t xml:space="preserve">to migratory</t>
        </is>
      </c>
      <c r="K48" t="inlineStr">
        <is>
          <t xml:space="preserve">sed.→migr.</t>
        </is>
      </c>
      <c r="L48" t="inlineStr">
        <is>
          <t xml:space="preserve">volant</t>
        </is>
      </c>
      <c r="M48" t="inlineStr">
        <is>
          <t xml:space="preserve">hovering (H)</t>
        </is>
      </c>
      <c r="O48" t="inlineStr">
        <is>
          <t xml:space="preserve">sedentary</t>
        </is>
      </c>
      <c r="Q48">
        <v>1</v>
      </c>
      <c r="R48" t="inlineStr">
        <is>
          <t xml:space="preserve">Aerial</t>
        </is>
      </c>
      <c r="S48" t="inlineStr">
        <is>
          <t xml:space="preserve">Grassland</t>
        </is>
      </c>
      <c r="T48">
        <v>58.484228</v>
      </c>
      <c r="U48">
        <v>62.436893</v>
      </c>
      <c r="V48">
        <v>1.860483</v>
      </c>
      <c r="W48">
        <v>2.42671</v>
      </c>
      <c r="X48">
        <v>9.1</v>
      </c>
      <c r="Y48">
        <v>5.515</v>
      </c>
      <c r="Z48">
        <v>9.1</v>
      </c>
      <c r="AA48">
        <v>72</v>
      </c>
      <c r="AB48">
        <v>42</v>
      </c>
      <c r="AC48">
        <v>29.8</v>
      </c>
      <c r="AD48">
        <v>8.4</v>
      </c>
      <c r="AE48">
        <v>49.2</v>
      </c>
      <c r="AJ48">
        <v>3.5406</v>
      </c>
      <c r="AK48">
        <v>-1.7399</v>
      </c>
      <c r="AL48">
        <v>-11.88</v>
      </c>
      <c r="AM48">
        <v>-13.55</v>
      </c>
      <c r="AN48">
        <v>-10.37</v>
      </c>
      <c r="AO48">
        <v>55336.69</v>
      </c>
      <c r="AP48">
        <v>1141634273.4</v>
      </c>
      <c r="AQ48">
        <v>14593.03</v>
      </c>
      <c r="AR48" t="inlineStr">
        <is>
          <t xml:space="preserve">AVONET (Tobias et al. 2022)</t>
        </is>
      </c>
      <c r="AS48">
        <v>2.3688</v>
      </c>
      <c r="AT48" t="inlineStr">
        <is>
          <t xml:space="preserve">Bird et al. 2020, Table S4</t>
        </is>
      </c>
    </row>
    <row r="49">
      <c r="A49" t="inlineStr">
        <is>
          <t xml:space="preserve">24</t>
        </is>
      </c>
      <c r="B49" t="inlineStr">
        <is>
          <t xml:space="preserve">OREMEL-CALANN-SM</t>
        </is>
      </c>
      <c r="C49" t="inlineStr">
        <is>
          <t xml:space="preserve">CALANN</t>
        </is>
      </c>
      <c r="D49" t="inlineStr">
        <is>
          <t xml:space="preserve">greater flight capacity</t>
        </is>
      </c>
      <c r="E49" t="inlineStr">
        <is>
          <t xml:space="preserve">Calypte anna</t>
        </is>
      </c>
      <c r="G49" t="inlineStr">
        <is>
          <t xml:space="preserve">Elementaves: Strisores</t>
        </is>
      </c>
      <c r="H49" t="inlineStr">
        <is>
          <t xml:space="preserve">Apodiformes</t>
        </is>
      </c>
      <c r="I49" t="inlineStr">
        <is>
          <t xml:space="preserve">Trochilidae</t>
        </is>
      </c>
      <c r="J49" t="inlineStr">
        <is>
          <t xml:space="preserve">to migratory</t>
        </is>
      </c>
      <c r="K49" t="inlineStr">
        <is>
          <t xml:space="preserve">sed.→migr.</t>
        </is>
      </c>
      <c r="L49" t="inlineStr">
        <is>
          <t xml:space="preserve">volant</t>
        </is>
      </c>
      <c r="M49" t="inlineStr">
        <is>
          <t xml:space="preserve">hovering (H)</t>
        </is>
      </c>
      <c r="O49" t="inlineStr">
        <is>
          <t xml:space="preserve">migratory</t>
        </is>
      </c>
      <c r="P49" t="inlineStr">
        <is>
          <t xml:space="preserve">short dispersive, partial</t>
        </is>
      </c>
      <c r="Q49">
        <v>2</v>
      </c>
      <c r="R49" t="inlineStr">
        <is>
          <t xml:space="preserve">Aerial</t>
        </is>
      </c>
      <c r="S49" t="inlineStr">
        <is>
          <t xml:space="preserve">Woodland</t>
        </is>
      </c>
      <c r="T49">
        <v>65.621511</v>
      </c>
      <c r="U49">
        <v>63.537957</v>
      </c>
      <c r="V49">
        <v>2.73934</v>
      </c>
      <c r="W49">
        <v>2.640831</v>
      </c>
      <c r="X49">
        <v>4.24</v>
      </c>
      <c r="Y49">
        <v>4.53</v>
      </c>
      <c r="Z49">
        <v>4.24</v>
      </c>
      <c r="AA49">
        <v>49</v>
      </c>
      <c r="AB49">
        <v>32.1</v>
      </c>
      <c r="AC49">
        <v>16.9</v>
      </c>
      <c r="AD49">
        <v>4.6</v>
      </c>
      <c r="AE49">
        <v>30</v>
      </c>
      <c r="AJ49">
        <v>3.4103</v>
      </c>
      <c r="AK49">
        <v>-1.7339</v>
      </c>
      <c r="AL49">
        <v>37.61</v>
      </c>
      <c r="AM49">
        <v>28.86</v>
      </c>
      <c r="AN49">
        <v>49.69</v>
      </c>
      <c r="AO49">
        <v>493015.73</v>
      </c>
      <c r="AP49">
        <v>1104594382.5</v>
      </c>
      <c r="AQ49">
        <v>14572.59</v>
      </c>
      <c r="AR49" t="inlineStr">
        <is>
          <t xml:space="preserve">AVONET (Tobias et al. 2022)</t>
        </is>
      </c>
      <c r="AS49">
        <v>2.0797</v>
      </c>
      <c r="AT49" t="inlineStr">
        <is>
          <t xml:space="preserve">Bird et al. 2020, Table S4</t>
        </is>
      </c>
    </row>
    <row r="50">
      <c r="A50" t="inlineStr">
        <is>
          <t xml:space="preserve">25</t>
        </is>
      </c>
      <c r="B50" t="inlineStr">
        <is>
          <t xml:space="preserve">STROCC-TYTALB-VV</t>
        </is>
      </c>
      <c r="C50" t="inlineStr">
        <is>
          <t xml:space="preserve">TYTALB</t>
        </is>
      </c>
      <c r="D50" t="inlineStr">
        <is>
          <t xml:space="preserve">lesser flight capacity</t>
        </is>
      </c>
      <c r="E50" t="inlineStr">
        <is>
          <t xml:space="preserve">Tyto alba</t>
        </is>
      </c>
      <c r="G50" t="inlineStr">
        <is>
          <t xml:space="preserve">Afroaves: Hieraves</t>
        </is>
      </c>
      <c r="H50" t="inlineStr">
        <is>
          <t xml:space="preserve">Strigiformes</t>
        </is>
      </c>
      <c r="J50" t="inlineStr">
        <is>
          <t xml:space="preserve">minimal</t>
        </is>
      </c>
      <c r="K50" t="inlineStr">
        <is>
          <t xml:space="preserve">N/A (sed.)</t>
        </is>
      </c>
      <c r="L50" t="inlineStr">
        <is>
          <t xml:space="preserve">volant</t>
        </is>
      </c>
      <c r="M50" t="inlineStr">
        <is>
          <t xml:space="preserve">flap-gliding (FG)</t>
        </is>
      </c>
      <c r="O50" t="inlineStr">
        <is>
          <t xml:space="preserve">sedentary</t>
        </is>
      </c>
      <c r="Q50">
        <v>1</v>
      </c>
      <c r="R50" t="inlineStr">
        <is>
          <t xml:space="preserve">Insessorial</t>
        </is>
      </c>
      <c r="S50" t="inlineStr">
        <is>
          <t xml:space="preserve">Human Modified</t>
        </is>
      </c>
      <c r="T50">
        <v>41.401622</v>
      </c>
      <c r="U50">
        <v>32.40363</v>
      </c>
      <c r="V50">
        <v>-2.27641</v>
      </c>
      <c r="W50">
        <v>-2.641913</v>
      </c>
      <c r="X50">
        <v>403.32</v>
      </c>
      <c r="Y50">
        <v>454.948</v>
      </c>
      <c r="Z50">
        <v>403.32</v>
      </c>
      <c r="AA50">
        <v>280.2</v>
      </c>
      <c r="AB50">
        <v>111.5</v>
      </c>
      <c r="AC50">
        <v>168.7</v>
      </c>
      <c r="AD50">
        <v>59.6</v>
      </c>
      <c r="AE50">
        <v>118.3</v>
      </c>
      <c r="AF50">
        <v>1683</v>
      </c>
      <c r="AG50">
        <v>505</v>
      </c>
      <c r="AH50">
        <v>0.3</v>
      </c>
      <c r="AI50" t="inlineStr">
        <is>
          <t xml:space="preserve">Poole 1938</t>
        </is>
      </c>
      <c r="AJ50">
        <v>3.6356</v>
      </c>
      <c r="AK50">
        <v>-0.6661</v>
      </c>
      <c r="AL50">
        <v>3.24</v>
      </c>
      <c r="AM50">
        <v>-55.72</v>
      </c>
      <c r="AN50">
        <v>58.07</v>
      </c>
      <c r="AO50">
        <v>63140525.19</v>
      </c>
      <c r="AP50">
        <v>1154731734.1</v>
      </c>
      <c r="AQ50">
        <v>14213.6</v>
      </c>
      <c r="AR50" t="inlineStr">
        <is>
          <t xml:space="preserve">AVONET (Tobias et al. 2022)</t>
        </is>
      </c>
      <c r="AS50">
        <v>5.8159</v>
      </c>
      <c r="AT50" t="inlineStr">
        <is>
          <t xml:space="preserve">Bird et al. 2020, Table S4</t>
        </is>
      </c>
    </row>
    <row r="51">
      <c r="A51" t="inlineStr">
        <is>
          <t xml:space="preserve">25</t>
        </is>
      </c>
      <c r="B51" t="inlineStr">
        <is>
          <t xml:space="preserve">STROCC-TYTALB-VV</t>
        </is>
      </c>
      <c r="C51" t="inlineStr">
        <is>
          <t xml:space="preserve">STROCC</t>
        </is>
      </c>
      <c r="D51" t="inlineStr">
        <is>
          <t xml:space="preserve">greater flight capacity</t>
        </is>
      </c>
      <c r="E51" t="inlineStr">
        <is>
          <t xml:space="preserve">Strix occidentalis</t>
        </is>
      </c>
      <c r="G51" t="inlineStr">
        <is>
          <t xml:space="preserve">Afroaves: Hieraves</t>
        </is>
      </c>
      <c r="H51" t="inlineStr">
        <is>
          <t xml:space="preserve">Strigiformes</t>
        </is>
      </c>
      <c r="J51" t="inlineStr">
        <is>
          <t xml:space="preserve">minimal</t>
        </is>
      </c>
      <c r="K51" t="inlineStr">
        <is>
          <t xml:space="preserve">N/A (sed.)</t>
        </is>
      </c>
      <c r="L51" t="inlineStr">
        <is>
          <t xml:space="preserve">volant</t>
        </is>
      </c>
      <c r="M51" t="inlineStr">
        <is>
          <t xml:space="preserve">flap-gliding (FG)</t>
        </is>
      </c>
      <c r="O51" t="inlineStr">
        <is>
          <t xml:space="preserve">sedentary</t>
        </is>
      </c>
      <c r="Q51">
        <v>1</v>
      </c>
      <c r="R51" t="inlineStr">
        <is>
          <t xml:space="preserve">Insessorial</t>
        </is>
      </c>
      <c r="S51" t="inlineStr">
        <is>
          <t xml:space="preserve">Forest</t>
        </is>
      </c>
      <c r="T51">
        <v>32.992023</v>
      </c>
      <c r="U51">
        <v>27.252593</v>
      </c>
      <c r="V51">
        <v>-2.877685</v>
      </c>
      <c r="W51">
        <v>-2.634856</v>
      </c>
      <c r="X51">
        <v>586.37</v>
      </c>
      <c r="Y51">
        <v>379.937</v>
      </c>
      <c r="Z51">
        <v>586.37</v>
      </c>
      <c r="AA51">
        <v>320</v>
      </c>
      <c r="AB51">
        <v>105.6</v>
      </c>
      <c r="AC51">
        <v>214.4</v>
      </c>
      <c r="AD51">
        <v>57</v>
      </c>
      <c r="AE51">
        <v>190.4</v>
      </c>
      <c r="AJ51">
        <v>3.6437</v>
      </c>
      <c r="AK51">
        <v>-0.5575</v>
      </c>
      <c r="AL51">
        <v>35.47</v>
      </c>
      <c r="AM51">
        <v>19.47</v>
      </c>
      <c r="AN51">
        <v>51.61</v>
      </c>
      <c r="AO51">
        <v>1207066.6</v>
      </c>
      <c r="AP51">
        <v>1245600645.9</v>
      </c>
      <c r="AQ51">
        <v>16339.16</v>
      </c>
      <c r="AR51" t="inlineStr">
        <is>
          <t xml:space="preserve">AVONET (Tobias et al. 2022)</t>
        </is>
      </c>
      <c r="AS51">
        <v>6.6523</v>
      </c>
      <c r="AT51" t="inlineStr">
        <is>
          <t xml:space="preserve">Bird et al. 2020, Table S4</t>
        </is>
      </c>
    </row>
    <row r="52">
      <c r="A52" t="inlineStr">
        <is>
          <t xml:space="preserve">26</t>
        </is>
      </c>
      <c r="B52" t="inlineStr">
        <is>
          <t xml:space="preserve">AQUCHR-HALALB-VV</t>
        </is>
      </c>
      <c r="C52" t="inlineStr">
        <is>
          <t xml:space="preserve">HALALB</t>
        </is>
      </c>
      <c r="D52" t="inlineStr">
        <is>
          <t xml:space="preserve">lesser flight capacity</t>
        </is>
      </c>
      <c r="E52" t="inlineStr">
        <is>
          <t xml:space="preserve">Haliaeetus albicilla</t>
        </is>
      </c>
      <c r="G52" t="inlineStr">
        <is>
          <t xml:space="preserve">Afroaves: Hieraves</t>
        </is>
      </c>
      <c r="H52" t="inlineStr">
        <is>
          <t xml:space="preserve">Accipitriformes</t>
        </is>
      </c>
      <c r="I52" t="inlineStr">
        <is>
          <t xml:space="preserve">Accipitridae</t>
        </is>
      </c>
      <c r="J52" t="inlineStr">
        <is>
          <t xml:space="preserve">minimal</t>
        </is>
      </c>
      <c r="K52" t="inlineStr">
        <is>
          <t xml:space="preserve">N/A (migr.)</t>
        </is>
      </c>
      <c r="L52" t="inlineStr">
        <is>
          <t xml:space="preserve">volant</t>
        </is>
      </c>
      <c r="M52" t="inlineStr">
        <is>
          <t xml:space="preserve">soaring (S)</t>
        </is>
      </c>
      <c r="O52" t="inlineStr">
        <is>
          <t xml:space="preserve">migratory</t>
        </is>
      </c>
      <c r="P52" t="inlineStr">
        <is>
          <t xml:space="preserve">short–medium, partial</t>
        </is>
      </c>
      <c r="Q52">
        <v>2</v>
      </c>
      <c r="R52" t="inlineStr">
        <is>
          <t xml:space="preserve">Aerial</t>
        </is>
      </c>
      <c r="S52" t="inlineStr">
        <is>
          <t xml:space="preserve">Rock</t>
        </is>
      </c>
      <c r="T52">
        <v>38.016315</v>
      </c>
      <c r="U52">
        <v>34.537545</v>
      </c>
      <c r="V52">
        <v>-4.823511</v>
      </c>
      <c r="W52">
        <v>-3.09799</v>
      </c>
      <c r="X52">
        <v>4729.27</v>
      </c>
      <c r="Y52">
        <v>765.123</v>
      </c>
      <c r="Z52">
        <v>4729.27</v>
      </c>
      <c r="AA52">
        <v>599.5</v>
      </c>
      <c r="AB52">
        <v>227.2</v>
      </c>
      <c r="AC52">
        <v>370.9</v>
      </c>
      <c r="AD52">
        <v>95</v>
      </c>
      <c r="AE52">
        <v>294.2</v>
      </c>
      <c r="AJ52">
        <v>3.5756</v>
      </c>
      <c r="AK52">
        <v>0.2745</v>
      </c>
      <c r="AL52">
        <v>59.89</v>
      </c>
      <c r="AM52">
        <v>36.21</v>
      </c>
      <c r="AN52">
        <v>73.65</v>
      </c>
      <c r="AO52">
        <v>17404346.92</v>
      </c>
      <c r="AP52">
        <v>1211838455.5</v>
      </c>
      <c r="AQ52">
        <v>16085.01</v>
      </c>
      <c r="AR52" t="inlineStr">
        <is>
          <t xml:space="preserve">AVONET (Tobias et al. 2022)</t>
        </is>
      </c>
      <c r="AS52">
        <v>14.4512</v>
      </c>
      <c r="AT52" t="inlineStr">
        <is>
          <t xml:space="preserve">Bird et al. 2020, Table S4</t>
        </is>
      </c>
    </row>
    <row r="53">
      <c r="A53" t="inlineStr">
        <is>
          <t xml:space="preserve">26</t>
        </is>
      </c>
      <c r="B53" t="inlineStr">
        <is>
          <t xml:space="preserve">AQUCHR-HALALB-VV</t>
        </is>
      </c>
      <c r="C53" t="inlineStr">
        <is>
          <t xml:space="preserve">AQUCHR</t>
        </is>
      </c>
      <c r="D53" t="inlineStr">
        <is>
          <t xml:space="preserve">greater flight capacity</t>
        </is>
      </c>
      <c r="E53" t="inlineStr">
        <is>
          <t xml:space="preserve">Aquila chrysaetos</t>
        </is>
      </c>
      <c r="G53" t="inlineStr">
        <is>
          <t xml:space="preserve">Afroaves: Hieraves</t>
        </is>
      </c>
      <c r="H53" t="inlineStr">
        <is>
          <t xml:space="preserve">Accipitriformes</t>
        </is>
      </c>
      <c r="I53" t="inlineStr">
        <is>
          <t xml:space="preserve">Accipitridae</t>
        </is>
      </c>
      <c r="J53" t="inlineStr">
        <is>
          <t xml:space="preserve">minimal</t>
        </is>
      </c>
      <c r="K53" t="inlineStr">
        <is>
          <t xml:space="preserve">N/A (migr.)</t>
        </is>
      </c>
      <c r="L53" t="inlineStr">
        <is>
          <t xml:space="preserve">volant</t>
        </is>
      </c>
      <c r="M53" t="inlineStr">
        <is>
          <t xml:space="preserve">soaring (S)</t>
        </is>
      </c>
      <c r="O53" t="inlineStr">
        <is>
          <t xml:space="preserve">migratory</t>
        </is>
      </c>
      <c r="P53" t="inlineStr">
        <is>
          <t xml:space="preserve">short–long, partial</t>
        </is>
      </c>
      <c r="Q53">
        <v>2</v>
      </c>
      <c r="R53" t="inlineStr">
        <is>
          <t xml:space="preserve">Aerial</t>
        </is>
      </c>
      <c r="S53" t="inlineStr">
        <is>
          <t xml:space="preserve">Grassland</t>
        </is>
      </c>
      <c r="T53">
        <v>36.974461</v>
      </c>
      <c r="U53">
        <v>32.650297</v>
      </c>
      <c r="V53">
        <v>-4.743969</v>
      </c>
      <c r="W53">
        <v>-4.044013</v>
      </c>
      <c r="X53">
        <v>4247.97</v>
      </c>
      <c r="Y53">
        <v>1862.858</v>
      </c>
      <c r="Z53">
        <v>4247.97</v>
      </c>
      <c r="AA53">
        <v>603.1</v>
      </c>
      <c r="AB53">
        <v>221.2</v>
      </c>
      <c r="AC53">
        <v>381.9</v>
      </c>
      <c r="AD53">
        <v>101.4</v>
      </c>
      <c r="AE53">
        <v>307.1</v>
      </c>
      <c r="AF53">
        <v>6520</v>
      </c>
      <c r="AG53">
        <v>4664</v>
      </c>
      <c r="AH53">
        <v>0.715</v>
      </c>
      <c r="AI53" t="inlineStr">
        <is>
          <t xml:space="preserve">Poole 1938</t>
        </is>
      </c>
      <c r="AJ53">
        <v>3.6174</v>
      </c>
      <c r="AK53">
        <v>0.1552</v>
      </c>
      <c r="AL53">
        <v>50.67</v>
      </c>
      <c r="AM53">
        <v>6.36</v>
      </c>
      <c r="AN53">
        <v>71.12</v>
      </c>
      <c r="AO53">
        <v>39450257.98</v>
      </c>
      <c r="AP53">
        <v>1177796155.3</v>
      </c>
      <c r="AQ53">
        <v>15299.14</v>
      </c>
      <c r="AR53" t="inlineStr">
        <is>
          <t xml:space="preserve">AVONET (Tobias et al. 2022)</t>
        </is>
      </c>
      <c r="AS53">
        <v>16.2553</v>
      </c>
      <c r="AT53" t="inlineStr">
        <is>
          <t xml:space="preserve">Bird et al. 2020, Table S4</t>
        </is>
      </c>
    </row>
    <row r="54">
      <c r="A54" t="inlineStr">
        <is>
          <t xml:space="preserve">27</t>
        </is>
      </c>
      <c r="B54" t="inlineStr">
        <is>
          <t xml:space="preserve">COLSTR-UROIND-VV</t>
        </is>
      </c>
      <c r="C54" t="inlineStr">
        <is>
          <t xml:space="preserve">COLSTR</t>
        </is>
      </c>
      <c r="D54" t="inlineStr">
        <is>
          <t xml:space="preserve">lesser flight capacity</t>
        </is>
      </c>
      <c r="E54" t="inlineStr">
        <is>
          <t xml:space="preserve">Colius striatus</t>
        </is>
      </c>
      <c r="G54" t="inlineStr">
        <is>
          <t xml:space="preserve">Afroaves: Coraciimorphae</t>
        </is>
      </c>
      <c r="H54" t="inlineStr">
        <is>
          <t xml:space="preserve">Coliiformes</t>
        </is>
      </c>
      <c r="I54" t="inlineStr">
        <is>
          <t xml:space="preserve">Coliidae</t>
        </is>
      </c>
      <c r="J54" t="inlineStr">
        <is>
          <t xml:space="preserve">minimal</t>
        </is>
      </c>
      <c r="K54" t="inlineStr">
        <is>
          <t xml:space="preserve">N/A (sed.)</t>
        </is>
      </c>
      <c r="L54" t="inlineStr">
        <is>
          <t xml:space="preserve">volant</t>
        </is>
      </c>
      <c r="M54" t="inlineStr">
        <is>
          <t xml:space="preserve">flap-gliding (FG)</t>
        </is>
      </c>
      <c r="O54" t="inlineStr">
        <is>
          <t xml:space="preserve">sedentary</t>
        </is>
      </c>
      <c r="Q54">
        <v>1</v>
      </c>
      <c r="R54" t="inlineStr">
        <is>
          <t xml:space="preserve">Insessorial</t>
        </is>
      </c>
      <c r="S54" t="inlineStr">
        <is>
          <t xml:space="preserve">Shrubland</t>
        </is>
      </c>
      <c r="T54">
        <v>25.329945</v>
      </c>
      <c r="U54">
        <v>27.327157</v>
      </c>
      <c r="V54">
        <v>-0.701797</v>
      </c>
      <c r="W54">
        <v>-0.525586</v>
      </c>
      <c r="X54">
        <v>51.1</v>
      </c>
      <c r="Y54">
        <v>46.222</v>
      </c>
      <c r="Z54">
        <v>51.1</v>
      </c>
      <c r="AA54">
        <v>94.8</v>
      </c>
      <c r="AB54">
        <v>23.1</v>
      </c>
      <c r="AC54">
        <v>72</v>
      </c>
      <c r="AD54">
        <v>22.6</v>
      </c>
      <c r="AE54">
        <v>195</v>
      </c>
      <c r="AJ54">
        <v>3.2405</v>
      </c>
      <c r="AK54">
        <v>-0.5646</v>
      </c>
      <c r="AL54">
        <v>-3.81</v>
      </c>
      <c r="AM54">
        <v>-34.84</v>
      </c>
      <c r="AN54">
        <v>16.89</v>
      </c>
      <c r="AO54">
        <v>8057145.03</v>
      </c>
      <c r="AP54">
        <v>1102982884.6</v>
      </c>
      <c r="AQ54">
        <v>14693.46</v>
      </c>
      <c r="AR54" t="inlineStr">
        <is>
          <t xml:space="preserve">AVONET (Tobias et al. 2022)</t>
        </is>
      </c>
      <c r="AS54">
        <v>3.4379</v>
      </c>
      <c r="AT54" t="inlineStr">
        <is>
          <t xml:space="preserve">Bird et al. 2020, Table S4</t>
        </is>
      </c>
    </row>
    <row r="55">
      <c r="A55" t="inlineStr">
        <is>
          <t xml:space="preserve">27</t>
        </is>
      </c>
      <c r="B55" t="inlineStr">
        <is>
          <t xml:space="preserve">COLSTR-UROIND-VV</t>
        </is>
      </c>
      <c r="C55" t="inlineStr">
        <is>
          <t xml:space="preserve">UROIND</t>
        </is>
      </c>
      <c r="D55" t="inlineStr">
        <is>
          <t xml:space="preserve">greater flight capacity</t>
        </is>
      </c>
      <c r="E55" t="inlineStr">
        <is>
          <t xml:space="preserve">Urocolius indicus</t>
        </is>
      </c>
      <c r="G55" t="inlineStr">
        <is>
          <t xml:space="preserve">Afroaves: Coraciimorphae</t>
        </is>
      </c>
      <c r="H55" t="inlineStr">
        <is>
          <t xml:space="preserve">Coliiformes</t>
        </is>
      </c>
      <c r="I55" t="inlineStr">
        <is>
          <t xml:space="preserve">Coliidae</t>
        </is>
      </c>
      <c r="J55" t="inlineStr">
        <is>
          <t xml:space="preserve">minimal</t>
        </is>
      </c>
      <c r="K55" t="inlineStr">
        <is>
          <t xml:space="preserve">N/A (sed.)</t>
        </is>
      </c>
      <c r="L55" t="inlineStr">
        <is>
          <t xml:space="preserve">volant</t>
        </is>
      </c>
      <c r="M55" t="inlineStr">
        <is>
          <t xml:space="preserve">flap-gliding (FG)</t>
        </is>
      </c>
      <c r="O55" t="inlineStr">
        <is>
          <t xml:space="preserve">sedentary</t>
        </is>
      </c>
      <c r="Q55">
        <v>1</v>
      </c>
      <c r="R55" t="inlineStr">
        <is>
          <t xml:space="preserve">Insessorial</t>
        </is>
      </c>
      <c r="S55" t="inlineStr">
        <is>
          <t xml:space="preserve">Shrubland</t>
        </is>
      </c>
      <c r="T55">
        <v>32.046508</v>
      </c>
      <c r="U55">
        <v>30.799339</v>
      </c>
      <c r="V55">
        <v>-0.497427</v>
      </c>
      <c r="W55">
        <v>-0.466366</v>
      </c>
      <c r="X55">
        <v>52.7</v>
      </c>
      <c r="Y55">
        <v>49.1</v>
      </c>
      <c r="Z55">
        <v>52.7</v>
      </c>
      <c r="AA55">
        <v>94.6</v>
      </c>
      <c r="AB55">
        <v>29.9</v>
      </c>
      <c r="AC55">
        <v>63.6</v>
      </c>
      <c r="AD55">
        <v>20.7</v>
      </c>
      <c r="AE55">
        <v>210.4</v>
      </c>
      <c r="AJ55">
        <v>3.2281</v>
      </c>
      <c r="AK55">
        <v>-0.5295</v>
      </c>
      <c r="AL55">
        <v>-22.11</v>
      </c>
      <c r="AM55">
        <v>-34.84</v>
      </c>
      <c r="AN55">
        <v>-5.1</v>
      </c>
      <c r="AO55">
        <v>3462430.5</v>
      </c>
      <c r="AP55">
        <v>1121977045.2</v>
      </c>
      <c r="AQ55">
        <v>16270.38</v>
      </c>
      <c r="AR55" t="inlineStr">
        <is>
          <t xml:space="preserve">AVONET (Tobias et al. 2022)</t>
        </is>
      </c>
      <c r="AS55">
        <v>2.5338</v>
      </c>
      <c r="AT55" t="inlineStr">
        <is>
          <t xml:space="preserve">Bird et al. 2020, Table S4</t>
        </is>
      </c>
    </row>
    <row r="56">
      <c r="A56" t="inlineStr">
        <is>
          <t xml:space="preserve">28</t>
        </is>
      </c>
      <c r="B56" t="inlineStr">
        <is>
          <t xml:space="preserve">TROMEL-APAVIT-VV</t>
        </is>
      </c>
      <c r="C56" t="inlineStr">
        <is>
          <t xml:space="preserve">APAVIT</t>
        </is>
      </c>
      <c r="D56" t="inlineStr">
        <is>
          <t xml:space="preserve">lesser flight capacity</t>
        </is>
      </c>
      <c r="E56" t="inlineStr">
        <is>
          <t xml:space="preserve">Apaloderma vittatum</t>
        </is>
      </c>
      <c r="G56" t="inlineStr">
        <is>
          <t xml:space="preserve">Afroaves: Coraciimorphae</t>
        </is>
      </c>
      <c r="H56" t="inlineStr">
        <is>
          <t xml:space="preserve">Trogoniformes</t>
        </is>
      </c>
      <c r="I56" t="inlineStr">
        <is>
          <t xml:space="preserve">Trogonidae</t>
        </is>
      </c>
      <c r="J56" t="inlineStr">
        <is>
          <t xml:space="preserve">minimal</t>
        </is>
      </c>
      <c r="K56" t="inlineStr">
        <is>
          <t xml:space="preserve">N/A (sed.)</t>
        </is>
      </c>
      <c r="L56" t="inlineStr">
        <is>
          <t xml:space="preserve">volant</t>
        </is>
      </c>
      <c r="M56" t="inlineStr">
        <is>
          <t xml:space="preserve">flap-gliding (FG)</t>
        </is>
      </c>
      <c r="O56" t="inlineStr">
        <is>
          <t xml:space="preserve">sedentary</t>
        </is>
      </c>
      <c r="Q56">
        <v>1</v>
      </c>
      <c r="R56" t="inlineStr">
        <is>
          <t xml:space="preserve">Insessorial</t>
        </is>
      </c>
      <c r="S56" t="inlineStr">
        <is>
          <t xml:space="preserve">Forest</t>
        </is>
      </c>
      <c r="T56">
        <v>38.812413</v>
      </c>
      <c r="U56">
        <v>38.003944</v>
      </c>
      <c r="V56">
        <v>-0.348593</v>
      </c>
      <c r="W56">
        <v>-0.460591</v>
      </c>
      <c r="X56">
        <v>55</v>
      </c>
      <c r="Y56">
        <v>60.237</v>
      </c>
      <c r="Z56">
        <v>55</v>
      </c>
      <c r="AA56">
        <v>121.9</v>
      </c>
      <c r="AB56">
        <v>46.5</v>
      </c>
      <c r="AC56">
        <v>74.8</v>
      </c>
      <c r="AD56">
        <v>15.2</v>
      </c>
      <c r="AE56">
        <v>159.4</v>
      </c>
      <c r="AJ56">
        <v>3.4674</v>
      </c>
      <c r="AK56">
        <v>-0.9939</v>
      </c>
      <c r="AL56">
        <v>-3.27</v>
      </c>
      <c r="AM56">
        <v>-16.71</v>
      </c>
      <c r="AN56">
        <v>7.92</v>
      </c>
      <c r="AO56">
        <v>485903.03</v>
      </c>
      <c r="AP56">
        <v>1101198106.1</v>
      </c>
      <c r="AQ56">
        <v>14522.66</v>
      </c>
      <c r="AR56" t="inlineStr">
        <is>
          <t xml:space="preserve">AVONET (Tobias et al. 2022)</t>
        </is>
      </c>
      <c r="AS56">
        <v>3.6494</v>
      </c>
      <c r="AT56" t="inlineStr">
        <is>
          <t xml:space="preserve">Bird et al. 2020, Table S4</t>
        </is>
      </c>
    </row>
    <row r="57">
      <c r="A57" t="inlineStr">
        <is>
          <t xml:space="preserve">28</t>
        </is>
      </c>
      <c r="B57" t="inlineStr">
        <is>
          <t xml:space="preserve">TROMEL-APAVIT-VV</t>
        </is>
      </c>
      <c r="C57" t="inlineStr">
        <is>
          <t xml:space="preserve">TROMEL</t>
        </is>
      </c>
      <c r="D57" t="inlineStr">
        <is>
          <t xml:space="preserve">greater flight capacity</t>
        </is>
      </c>
      <c r="E57" t="inlineStr">
        <is>
          <t xml:space="preserve">Trogon melanurus</t>
        </is>
      </c>
      <c r="G57" t="inlineStr">
        <is>
          <t xml:space="preserve">Afroaves: Coraciimorphae</t>
        </is>
      </c>
      <c r="H57" t="inlineStr">
        <is>
          <t xml:space="preserve">Trogoniformes</t>
        </is>
      </c>
      <c r="I57" t="inlineStr">
        <is>
          <t xml:space="preserve">Trogonidae</t>
        </is>
      </c>
      <c r="J57" t="inlineStr">
        <is>
          <t xml:space="preserve">minimal</t>
        </is>
      </c>
      <c r="K57" t="inlineStr">
        <is>
          <t xml:space="preserve">N/A (sed.)</t>
        </is>
      </c>
      <c r="L57" t="inlineStr">
        <is>
          <t xml:space="preserve">volant</t>
        </is>
      </c>
      <c r="M57" t="inlineStr">
        <is>
          <t xml:space="preserve">flap-gliding (FG)</t>
        </is>
      </c>
      <c r="O57" t="inlineStr">
        <is>
          <t xml:space="preserve">sedentary</t>
        </is>
      </c>
      <c r="Q57">
        <v>1</v>
      </c>
      <c r="R57" t="inlineStr">
        <is>
          <t xml:space="preserve">Insessorial</t>
        </is>
      </c>
      <c r="S57" t="inlineStr">
        <is>
          <t xml:space="preserve">Forest</t>
        </is>
      </c>
      <c r="T57">
        <v>34.45569</v>
      </c>
      <c r="U57">
        <v>37.089448</v>
      </c>
      <c r="V57">
        <v>-1.196524</v>
      </c>
      <c r="W57">
        <v>-0.917591</v>
      </c>
      <c r="X57">
        <v>114</v>
      </c>
      <c r="Y57">
        <v>92.844</v>
      </c>
      <c r="Z57">
        <v>114</v>
      </c>
      <c r="AA57">
        <v>153.5</v>
      </c>
      <c r="AB57">
        <v>54.1</v>
      </c>
      <c r="AC57">
        <v>100.4</v>
      </c>
      <c r="AD57">
        <v>14</v>
      </c>
      <c r="AE57">
        <v>150.1</v>
      </c>
      <c r="AJ57">
        <v>3.455</v>
      </c>
      <c r="AK57">
        <v>-0.726</v>
      </c>
      <c r="AL57">
        <v>-3.11</v>
      </c>
      <c r="AM57">
        <v>-16.43</v>
      </c>
      <c r="AN57">
        <v>12.46</v>
      </c>
      <c r="AO57">
        <v>6755571.08</v>
      </c>
      <c r="AP57">
        <v>1109183747.3</v>
      </c>
      <c r="AQ57">
        <v>15791.06</v>
      </c>
      <c r="AR57" t="inlineStr">
        <is>
          <t xml:space="preserve">AVONET (Tobias et al. 2022)</t>
        </is>
      </c>
      <c r="AS57">
        <v>4.0218</v>
      </c>
      <c r="AT57" t="inlineStr">
        <is>
          <t xml:space="preserve">Bird et al. 2020, Table S4</t>
        </is>
      </c>
    </row>
    <row r="58">
      <c r="A58" t="inlineStr">
        <is>
          <t xml:space="preserve">29</t>
        </is>
      </c>
      <c r="B58" t="inlineStr">
        <is>
          <t xml:space="preserve">BUCABY-BUCRHI-VV</t>
        </is>
      </c>
      <c r="C58" t="inlineStr">
        <is>
          <t xml:space="preserve">BUCRHI</t>
        </is>
      </c>
      <c r="D58" t="inlineStr">
        <is>
          <t xml:space="preserve">lesser flight capacity</t>
        </is>
      </c>
      <c r="E58" t="inlineStr">
        <is>
          <t xml:space="preserve">Buceros rhinoceros</t>
        </is>
      </c>
      <c r="G58" t="inlineStr">
        <is>
          <t xml:space="preserve">Afroaves: Coraciimorphae</t>
        </is>
      </c>
      <c r="H58" t="inlineStr">
        <is>
          <t xml:space="preserve">Bucerotiformes</t>
        </is>
      </c>
      <c r="J58" t="inlineStr">
        <is>
          <t xml:space="preserve">minimal</t>
        </is>
      </c>
      <c r="K58" t="inlineStr">
        <is>
          <t xml:space="preserve">N/A (sed.)</t>
        </is>
      </c>
      <c r="L58" t="inlineStr">
        <is>
          <t xml:space="preserve">volant</t>
        </is>
      </c>
      <c r="M58" t="inlineStr">
        <is>
          <t xml:space="preserve">flap-gliding (FG)</t>
        </is>
      </c>
      <c r="O58" t="inlineStr">
        <is>
          <t xml:space="preserve">sedentary</t>
        </is>
      </c>
      <c r="Q58">
        <v>1</v>
      </c>
      <c r="R58" t="inlineStr">
        <is>
          <t xml:space="preserve">Insessorial</t>
        </is>
      </c>
      <c r="S58" t="inlineStr">
        <is>
          <t xml:space="preserve">Forest</t>
        </is>
      </c>
      <c r="T58">
        <v>21.665199</v>
      </c>
      <c r="U58">
        <v>18.314244</v>
      </c>
      <c r="V58">
        <v>-4.695604</v>
      </c>
      <c r="W58">
        <v>-3.924197</v>
      </c>
      <c r="X58">
        <v>2371.58</v>
      </c>
      <c r="Y58">
        <v>926.928</v>
      </c>
      <c r="Z58">
        <v>2371.58</v>
      </c>
      <c r="AA58">
        <v>458.5</v>
      </c>
      <c r="AB58">
        <v>97.2</v>
      </c>
      <c r="AC58">
        <v>353.5</v>
      </c>
      <c r="AD58">
        <v>70.5</v>
      </c>
      <c r="AE58">
        <v>365.6</v>
      </c>
      <c r="AJ58">
        <v>3.5375</v>
      </c>
      <c r="AK58">
        <v>0.1206</v>
      </c>
      <c r="AL58">
        <v>0.14</v>
      </c>
      <c r="AM58">
        <v>-8.78</v>
      </c>
      <c r="AN58">
        <v>7.55</v>
      </c>
      <c r="AO58">
        <v>1455791.75</v>
      </c>
      <c r="AP58">
        <v>1121184390.2</v>
      </c>
      <c r="AQ58">
        <v>14639.39</v>
      </c>
      <c r="AR58" t="inlineStr">
        <is>
          <t xml:space="preserve">AVONET (Tobias et al. 2022)</t>
        </is>
      </c>
      <c r="AS58">
        <v>11.8055</v>
      </c>
      <c r="AT58" t="inlineStr">
        <is>
          <t xml:space="preserve">Bird et al. 2020, Table S4</t>
        </is>
      </c>
    </row>
    <row r="59">
      <c r="A59" t="inlineStr">
        <is>
          <t xml:space="preserve">29</t>
        </is>
      </c>
      <c r="B59" t="inlineStr">
        <is>
          <t xml:space="preserve">BUCABY-BUCRHI-VV</t>
        </is>
      </c>
      <c r="C59" t="inlineStr">
        <is>
          <t xml:space="preserve">BUCABY</t>
        </is>
      </c>
      <c r="D59" t="inlineStr">
        <is>
          <t xml:space="preserve">greater flight capacity</t>
        </is>
      </c>
      <c r="E59" t="inlineStr">
        <is>
          <t xml:space="preserve">Bucorvus abyssinicus</t>
        </is>
      </c>
      <c r="G59" t="inlineStr">
        <is>
          <t xml:space="preserve">Afroaves: Coraciimorphae</t>
        </is>
      </c>
      <c r="H59" t="inlineStr">
        <is>
          <t xml:space="preserve">Bucerotiformes</t>
        </is>
      </c>
      <c r="J59" t="inlineStr">
        <is>
          <t xml:space="preserve">minimal</t>
        </is>
      </c>
      <c r="K59" t="inlineStr">
        <is>
          <t xml:space="preserve">N/A (sed.)</t>
        </is>
      </c>
      <c r="L59" t="inlineStr">
        <is>
          <t xml:space="preserve">volant</t>
        </is>
      </c>
      <c r="M59" t="inlineStr">
        <is>
          <t xml:space="preserve">flap-gliding (FG)</t>
        </is>
      </c>
      <c r="O59" t="inlineStr">
        <is>
          <t xml:space="preserve">sedentary</t>
        </is>
      </c>
      <c r="Q59">
        <v>1</v>
      </c>
      <c r="R59" t="inlineStr">
        <is>
          <t xml:space="preserve">Terrestrial</t>
        </is>
      </c>
      <c r="S59" t="inlineStr">
        <is>
          <t xml:space="preserve">Grassland</t>
        </is>
      </c>
      <c r="T59">
        <v>20.548869</v>
      </c>
      <c r="U59">
        <v>20.641531</v>
      </c>
      <c r="V59">
        <v>-5.271244</v>
      </c>
      <c r="W59">
        <v>-5.234172</v>
      </c>
      <c r="X59">
        <v>4000</v>
      </c>
      <c r="Y59">
        <v>3871.81</v>
      </c>
      <c r="Z59">
        <v>4000</v>
      </c>
      <c r="AA59">
        <v>556</v>
      </c>
      <c r="AB59">
        <v>114.1</v>
      </c>
      <c r="AC59">
        <v>441.9</v>
      </c>
      <c r="AD59">
        <v>145.6</v>
      </c>
      <c r="AE59">
        <v>337.8</v>
      </c>
      <c r="AJ59">
        <v>3.5561</v>
      </c>
      <c r="AK59">
        <v>0.2577</v>
      </c>
      <c r="AL59">
        <v>9.51</v>
      </c>
      <c r="AM59">
        <v>0.1</v>
      </c>
      <c r="AN59">
        <v>16.58</v>
      </c>
      <c r="AO59">
        <v>4482170.58</v>
      </c>
      <c r="AP59">
        <v>1102479368.8</v>
      </c>
      <c r="AQ59">
        <v>15890.14</v>
      </c>
      <c r="AR59" t="inlineStr">
        <is>
          <t xml:space="preserve">AVONET (Tobias et al. 2022)</t>
        </is>
      </c>
      <c r="AS59">
        <v>19.2924</v>
      </c>
      <c r="AT59" t="inlineStr">
        <is>
          <t xml:space="preserve">Bird et al. 2020, Table S4</t>
        </is>
      </c>
    </row>
    <row r="60">
      <c r="A60" t="inlineStr">
        <is>
          <t xml:space="preserve">30</t>
        </is>
      </c>
      <c r="B60" t="inlineStr">
        <is>
          <t xml:space="preserve">EURGUL-MERNUB-SM</t>
        </is>
      </c>
      <c r="C60" t="inlineStr">
        <is>
          <t xml:space="preserve">EURGUL</t>
        </is>
      </c>
      <c r="D60" t="inlineStr">
        <is>
          <t xml:space="preserve">lesser flight capacity</t>
        </is>
      </c>
      <c r="E60" t="inlineStr">
        <is>
          <t xml:space="preserve">Eurystomus gularis</t>
        </is>
      </c>
      <c r="G60" t="inlineStr">
        <is>
          <t xml:space="preserve">Afroaves: Coraciimorphae</t>
        </is>
      </c>
      <c r="H60" t="inlineStr">
        <is>
          <t xml:space="preserve">Coraciiformes</t>
        </is>
      </c>
      <c r="J60" t="inlineStr">
        <is>
          <t xml:space="preserve">to migratory</t>
        </is>
      </c>
      <c r="K60" t="inlineStr">
        <is>
          <t xml:space="preserve">sed.→migr.</t>
        </is>
      </c>
      <c r="L60" t="inlineStr">
        <is>
          <t xml:space="preserve">volant</t>
        </is>
      </c>
      <c r="M60" t="inlineStr">
        <is>
          <t xml:space="preserve">flap-gliding (FG)</t>
        </is>
      </c>
      <c r="O60" t="inlineStr">
        <is>
          <t xml:space="preserve">sedentary</t>
        </is>
      </c>
      <c r="Q60">
        <v>1</v>
      </c>
      <c r="R60" t="inlineStr">
        <is>
          <t xml:space="preserve">Aerial</t>
        </is>
      </c>
      <c r="S60" t="inlineStr">
        <is>
          <t xml:space="preserve">Forest</t>
        </is>
      </c>
      <c r="T60">
        <v>42.409351</v>
      </c>
      <c r="U60">
        <v>28.933694</v>
      </c>
      <c r="V60">
        <v>-0.819996</v>
      </c>
      <c r="W60">
        <v>-1.532859</v>
      </c>
      <c r="X60">
        <v>96.29</v>
      </c>
      <c r="Y60">
        <v>134.004</v>
      </c>
      <c r="Z60">
        <v>96.29</v>
      </c>
      <c r="AA60">
        <v>148.6</v>
      </c>
      <c r="AB60">
        <v>61.8</v>
      </c>
      <c r="AC60">
        <v>84.5</v>
      </c>
      <c r="AD60">
        <v>17.8</v>
      </c>
      <c r="AE60">
        <v>90.6</v>
      </c>
      <c r="AJ60">
        <v>3.4788</v>
      </c>
      <c r="AK60">
        <v>-0.83</v>
      </c>
      <c r="AL60">
        <v>1.89</v>
      </c>
      <c r="AM60">
        <v>-9.39</v>
      </c>
      <c r="AN60">
        <v>10.19</v>
      </c>
      <c r="AO60">
        <v>2827968.86</v>
      </c>
      <c r="AP60">
        <v>1146510011.7</v>
      </c>
      <c r="AQ60">
        <v>16099.89</v>
      </c>
      <c r="AR60" t="inlineStr">
        <is>
          <t xml:space="preserve">AVONET (Tobias et al. 2022)</t>
        </is>
      </c>
      <c r="AS60">
        <v>4.0451</v>
      </c>
      <c r="AT60" t="inlineStr">
        <is>
          <t xml:space="preserve">Bird et al. 2020, Table S4</t>
        </is>
      </c>
    </row>
    <row r="61">
      <c r="A61" t="inlineStr">
        <is>
          <t xml:space="preserve">30</t>
        </is>
      </c>
      <c r="B61" t="inlineStr">
        <is>
          <t xml:space="preserve">EURGUL-MERNUB-SM</t>
        </is>
      </c>
      <c r="C61" t="inlineStr">
        <is>
          <t xml:space="preserve">MERNUB</t>
        </is>
      </c>
      <c r="D61" t="inlineStr">
        <is>
          <t xml:space="preserve">greater flight capacity</t>
        </is>
      </c>
      <c r="E61" t="inlineStr">
        <is>
          <t xml:space="preserve">Merops nubicus</t>
        </is>
      </c>
      <c r="G61" t="inlineStr">
        <is>
          <t xml:space="preserve">Afroaves: Coraciimorphae</t>
        </is>
      </c>
      <c r="H61" t="inlineStr">
        <is>
          <t xml:space="preserve">Coraciiformes</t>
        </is>
      </c>
      <c r="J61" t="inlineStr">
        <is>
          <t xml:space="preserve">to migratory</t>
        </is>
      </c>
      <c r="K61" t="inlineStr">
        <is>
          <t xml:space="preserve">sed.→migr.</t>
        </is>
      </c>
      <c r="L61" t="inlineStr">
        <is>
          <t xml:space="preserve">volant</t>
        </is>
      </c>
      <c r="M61" t="inlineStr">
        <is>
          <t xml:space="preserve">flap-gliding (FG)</t>
        </is>
      </c>
      <c r="O61" t="inlineStr">
        <is>
          <t xml:space="preserve">migratory</t>
        </is>
      </c>
      <c r="P61" t="inlineStr">
        <is>
          <t xml:space="preserve">short, partial</t>
        </is>
      </c>
      <c r="Q61">
        <v>2</v>
      </c>
      <c r="R61" t="inlineStr">
        <is>
          <t xml:space="preserve">Insessorial</t>
        </is>
      </c>
      <c r="S61" t="inlineStr">
        <is>
          <t xml:space="preserve">Grassland</t>
        </is>
      </c>
      <c r="T61">
        <v>40.104351</v>
      </c>
      <c r="U61">
        <v>33.095599</v>
      </c>
      <c r="V61">
        <v>-0.055664</v>
      </c>
      <c r="W61">
        <v>-0.074554</v>
      </c>
      <c r="X61">
        <v>42.4</v>
      </c>
      <c r="Y61">
        <v>35.657</v>
      </c>
      <c r="Z61">
        <v>42.4</v>
      </c>
      <c r="AA61">
        <v>145.2</v>
      </c>
      <c r="AB61">
        <v>57.5</v>
      </c>
      <c r="AC61">
        <v>86</v>
      </c>
      <c r="AD61">
        <v>13.7</v>
      </c>
      <c r="AE61">
        <v>163.5</v>
      </c>
      <c r="AJ61">
        <v>3.7291</v>
      </c>
      <c r="AK61">
        <v>-1.6039</v>
      </c>
      <c r="AL61">
        <v>10.72</v>
      </c>
      <c r="AM61">
        <v>-0.03</v>
      </c>
      <c r="AN61">
        <v>18.06</v>
      </c>
      <c r="AO61">
        <v>6717055.8</v>
      </c>
      <c r="AP61">
        <v>1082966621.9</v>
      </c>
      <c r="AQ61">
        <v>14449.21</v>
      </c>
      <c r="AR61" t="inlineStr">
        <is>
          <t xml:space="preserve">AVONET (Tobias et al. 2022)</t>
        </is>
      </c>
      <c r="AS61">
        <v>3.3796</v>
      </c>
      <c r="AT61" t="inlineStr">
        <is>
          <t xml:space="preserve">Bird et al. 2020, Table S4</t>
        </is>
      </c>
    </row>
    <row r="62">
      <c r="A62" t="inlineStr">
        <is>
          <t xml:space="preserve">31</t>
        </is>
      </c>
      <c r="B62" t="inlineStr">
        <is>
          <t xml:space="preserve">PICPUB-INDMAC-VV</t>
        </is>
      </c>
      <c r="C62" t="inlineStr">
        <is>
          <t xml:space="preserve">PICPUB</t>
        </is>
      </c>
      <c r="D62" t="inlineStr">
        <is>
          <t xml:space="preserve">lesser flight capacity</t>
        </is>
      </c>
      <c r="E62" t="inlineStr">
        <is>
          <t xml:space="preserve">Dryobates pubescens</t>
        </is>
      </c>
      <c r="G62" t="inlineStr">
        <is>
          <t xml:space="preserve">Afroaves: Coraciimorphae</t>
        </is>
      </c>
      <c r="H62" t="inlineStr">
        <is>
          <t xml:space="preserve">Piciformes</t>
        </is>
      </c>
      <c r="J62" t="inlineStr">
        <is>
          <t xml:space="preserve">minimal</t>
        </is>
      </c>
      <c r="K62" t="inlineStr">
        <is>
          <t xml:space="preserve">N/A (sed.)</t>
        </is>
      </c>
      <c r="L62" t="inlineStr">
        <is>
          <t xml:space="preserve">volant</t>
        </is>
      </c>
      <c r="M62" t="inlineStr">
        <is>
          <t xml:space="preserve">intermittent bounding (IB)</t>
        </is>
      </c>
      <c r="O62" t="inlineStr">
        <is>
          <t xml:space="preserve">sedentary</t>
        </is>
      </c>
      <c r="Q62">
        <v>1</v>
      </c>
      <c r="R62" t="inlineStr">
        <is>
          <t xml:space="preserve">Insessorial</t>
        </is>
      </c>
      <c r="S62" t="inlineStr">
        <is>
          <t xml:space="preserve">Woodland</t>
        </is>
      </c>
      <c r="T62">
        <v>16.289022</v>
      </c>
      <c r="U62">
        <v>21.25963</v>
      </c>
      <c r="V62">
        <v>-0.450146</v>
      </c>
      <c r="W62">
        <v>-1.339311</v>
      </c>
      <c r="X62">
        <v>25.55</v>
      </c>
      <c r="Y62">
        <v>81.136</v>
      </c>
      <c r="Z62">
        <v>25.55</v>
      </c>
      <c r="AA62">
        <v>91.3</v>
      </c>
      <c r="AB62">
        <v>24.3</v>
      </c>
      <c r="AC62">
        <v>65.9</v>
      </c>
      <c r="AD62">
        <v>15.8</v>
      </c>
      <c r="AE62">
        <v>58.6</v>
      </c>
      <c r="AF62">
        <v>136</v>
      </c>
      <c r="AG62">
        <v>24.8</v>
      </c>
      <c r="AH62">
        <v>0.182</v>
      </c>
      <c r="AI62" t="inlineStr">
        <is>
          <t xml:space="preserve">Poole 1938</t>
        </is>
      </c>
      <c r="AJ62">
        <v>3.4339</v>
      </c>
      <c r="AK62">
        <v>-1.1825</v>
      </c>
      <c r="AL62">
        <v>48.23</v>
      </c>
      <c r="AM62">
        <v>24.53</v>
      </c>
      <c r="AN62">
        <v>68.3</v>
      </c>
      <c r="AO62">
        <v>12800223.82</v>
      </c>
      <c r="AP62">
        <v>1168452230.4</v>
      </c>
      <c r="AQ62">
        <v>14405.05</v>
      </c>
      <c r="AR62" t="inlineStr">
        <is>
          <t xml:space="preserve">AVONET (Tobias et al. 2022)</t>
        </is>
      </c>
      <c r="AS62">
        <v>2.5345</v>
      </c>
      <c r="AT62" t="inlineStr">
        <is>
          <t xml:space="preserve">Bird et al. 2020, Table S4</t>
        </is>
      </c>
    </row>
    <row r="63">
      <c r="A63" t="inlineStr">
        <is>
          <t xml:space="preserve">31</t>
        </is>
      </c>
      <c r="B63" t="inlineStr">
        <is>
          <t xml:space="preserve">PICPUB-INDMAC-VV</t>
        </is>
      </c>
      <c r="C63" t="inlineStr">
        <is>
          <t xml:space="preserve">INDMAC</t>
        </is>
      </c>
      <c r="D63" t="inlineStr">
        <is>
          <t xml:space="preserve">greater flight capacity</t>
        </is>
      </c>
      <c r="E63" t="inlineStr">
        <is>
          <t xml:space="preserve">Indicator maculatus</t>
        </is>
      </c>
      <c r="G63" t="inlineStr">
        <is>
          <t xml:space="preserve">Afroaves: Coraciimorphae</t>
        </is>
      </c>
      <c r="H63" t="inlineStr">
        <is>
          <t xml:space="preserve">Piciformes</t>
        </is>
      </c>
      <c r="J63" t="inlineStr">
        <is>
          <t xml:space="preserve">minimal</t>
        </is>
      </c>
      <c r="K63" t="inlineStr">
        <is>
          <t xml:space="preserve">N/A (sed.)</t>
        </is>
      </c>
      <c r="L63" t="inlineStr">
        <is>
          <t xml:space="preserve">volant</t>
        </is>
      </c>
      <c r="M63" t="inlineStr">
        <is>
          <t xml:space="preserve">intermittent bounding (IB)</t>
        </is>
      </c>
      <c r="O63" t="inlineStr">
        <is>
          <t xml:space="preserve">sedentary</t>
        </is>
      </c>
      <c r="Q63">
        <v>1</v>
      </c>
      <c r="R63" t="inlineStr">
        <is>
          <t xml:space="preserve">Insessorial</t>
        </is>
      </c>
      <c r="S63" t="inlineStr">
        <is>
          <t xml:space="preserve">Forest</t>
        </is>
      </c>
      <c r="T63">
        <v>19.638931</v>
      </c>
      <c r="U63">
        <v>22.459105</v>
      </c>
      <c r="V63">
        <v>-0.868369</v>
      </c>
      <c r="W63">
        <v>-0.199105</v>
      </c>
      <c r="X63">
        <v>46.8</v>
      </c>
      <c r="Y63">
        <v>27.407</v>
      </c>
      <c r="Z63">
        <v>46.8</v>
      </c>
      <c r="AA63">
        <v>97.6</v>
      </c>
      <c r="AB63">
        <v>19.2</v>
      </c>
      <c r="AC63">
        <v>78.8</v>
      </c>
      <c r="AD63">
        <v>16.8</v>
      </c>
      <c r="AE63">
        <v>61.6</v>
      </c>
      <c r="AJ63">
        <v>3.2989</v>
      </c>
      <c r="AK63">
        <v>-0.7107</v>
      </c>
      <c r="AL63">
        <v>4.06</v>
      </c>
      <c r="AM63">
        <v>-5.93</v>
      </c>
      <c r="AN63">
        <v>13.85</v>
      </c>
      <c r="AO63">
        <v>4072953.89</v>
      </c>
      <c r="AP63">
        <v>1139499084.3</v>
      </c>
      <c r="AQ63">
        <v>15828.7</v>
      </c>
      <c r="AR63" t="inlineStr">
        <is>
          <t xml:space="preserve">AVONET (Tobias et al. 2022)</t>
        </is>
      </c>
      <c r="AS63">
        <v>3.0833</v>
      </c>
      <c r="AT63" t="inlineStr">
        <is>
          <t xml:space="preserve">Bird et al. 2020, Table S4</t>
        </is>
      </c>
    </row>
    <row r="64">
      <c r="A64" t="inlineStr">
        <is>
          <t xml:space="preserve">32</t>
        </is>
      </c>
      <c r="B64" t="inlineStr">
        <is>
          <t xml:space="preserve">CARCRI-CHUBUR-VV</t>
        </is>
      </c>
      <c r="C64" t="inlineStr">
        <is>
          <t xml:space="preserve">CARCRI</t>
        </is>
      </c>
      <c r="D64" t="inlineStr">
        <is>
          <t xml:space="preserve">lesser flight capacity</t>
        </is>
      </c>
      <c r="E64" t="inlineStr">
        <is>
          <t xml:space="preserve">Cariama cristata</t>
        </is>
      </c>
      <c r="G64" t="inlineStr">
        <is>
          <t xml:space="preserve">Australaves</t>
        </is>
      </c>
      <c r="H64" t="inlineStr">
        <is>
          <t xml:space="preserve">Cariamiformes</t>
        </is>
      </c>
      <c r="I64" t="inlineStr">
        <is>
          <t xml:space="preserve">Cariamidae</t>
        </is>
      </c>
      <c r="J64" t="inlineStr">
        <is>
          <t xml:space="preserve">minimal</t>
        </is>
      </c>
      <c r="K64" t="inlineStr">
        <is>
          <t xml:space="preserve">N/A (sed.)</t>
        </is>
      </c>
      <c r="L64" t="inlineStr">
        <is>
          <t xml:space="preserve">volant</t>
        </is>
      </c>
      <c r="M64" t="inlineStr">
        <is>
          <t xml:space="preserve">burst flight (BF)</t>
        </is>
      </c>
      <c r="O64" t="inlineStr">
        <is>
          <t xml:space="preserve">sedentary</t>
        </is>
      </c>
      <c r="Q64">
        <v>1</v>
      </c>
      <c r="R64" t="inlineStr">
        <is>
          <t xml:space="preserve">Terrestrial</t>
        </is>
      </c>
      <c r="S64" t="inlineStr">
        <is>
          <t xml:space="preserve">Shrubland</t>
        </is>
      </c>
      <c r="T64">
        <v>10.678981</v>
      </c>
      <c r="U64">
        <v>10.678981</v>
      </c>
      <c r="V64">
        <v>-4.87595</v>
      </c>
      <c r="W64">
        <v>-4.87595</v>
      </c>
      <c r="X64">
        <v>1400</v>
      </c>
      <c r="Y64">
        <v>1400</v>
      </c>
      <c r="Z64">
        <v>1400</v>
      </c>
      <c r="AA64">
        <v>357.1</v>
      </c>
      <c r="AB64">
        <v>38.2</v>
      </c>
      <c r="AC64">
        <v>320.3</v>
      </c>
      <c r="AD64">
        <v>205.8</v>
      </c>
      <c r="AE64">
        <v>296.4</v>
      </c>
      <c r="AJ64">
        <v>3.4633</v>
      </c>
      <c r="AK64">
        <v>0.0934</v>
      </c>
      <c r="AL64">
        <v>-19.26</v>
      </c>
      <c r="AM64">
        <v>-38.29</v>
      </c>
      <c r="AN64">
        <v>-2.73</v>
      </c>
      <c r="AO64">
        <v>5932013.38</v>
      </c>
      <c r="AP64">
        <v>1161341873.4</v>
      </c>
      <c r="AQ64">
        <v>15133.45</v>
      </c>
      <c r="AR64" t="inlineStr">
        <is>
          <t xml:space="preserve">AVONET (Tobias et al. 2022)</t>
        </is>
      </c>
      <c r="AS64">
        <v>7.5756</v>
      </c>
      <c r="AT64" t="inlineStr">
        <is>
          <t xml:space="preserve">Bird et al. 2020, Table S4</t>
        </is>
      </c>
    </row>
    <row r="65">
      <c r="A65" t="inlineStr">
        <is>
          <t xml:space="preserve">32</t>
        </is>
      </c>
      <c r="B65" t="inlineStr">
        <is>
          <t xml:space="preserve">CARCRI-CHUBUR-VV</t>
        </is>
      </c>
      <c r="C65" t="inlineStr">
        <is>
          <t xml:space="preserve">CHUBUR</t>
        </is>
      </c>
      <c r="D65" t="inlineStr">
        <is>
          <t xml:space="preserve">greater flight capacity</t>
        </is>
      </c>
      <c r="E65" t="inlineStr">
        <is>
          <t xml:space="preserve">Chunga burmeisteri</t>
        </is>
      </c>
      <c r="G65" t="inlineStr">
        <is>
          <t xml:space="preserve">Australaves</t>
        </is>
      </c>
      <c r="H65" t="inlineStr">
        <is>
          <t xml:space="preserve">Cariamiformes</t>
        </is>
      </c>
      <c r="I65" t="inlineStr">
        <is>
          <t xml:space="preserve">Cariamidae</t>
        </is>
      </c>
      <c r="J65" t="inlineStr">
        <is>
          <t xml:space="preserve">minimal</t>
        </is>
      </c>
      <c r="K65" t="inlineStr">
        <is>
          <t xml:space="preserve">N/A (sed.)</t>
        </is>
      </c>
      <c r="L65" t="inlineStr">
        <is>
          <t xml:space="preserve">volant</t>
        </is>
      </c>
      <c r="M65" t="inlineStr">
        <is>
          <t xml:space="preserve">burst flight (BF)</t>
        </is>
      </c>
      <c r="O65" t="inlineStr">
        <is>
          <t xml:space="preserve">sedentary</t>
        </is>
      </c>
      <c r="Q65">
        <v>1</v>
      </c>
      <c r="R65" t="inlineStr">
        <is>
          <t xml:space="preserve">Terrestrial</t>
        </is>
      </c>
      <c r="S65" t="inlineStr">
        <is>
          <t xml:space="preserve">Woodland</t>
        </is>
      </c>
      <c r="T65">
        <v>10.686583</v>
      </c>
      <c r="U65">
        <v>10.686583</v>
      </c>
      <c r="V65">
        <v>-4.799591</v>
      </c>
      <c r="W65">
        <v>-4.799591</v>
      </c>
      <c r="X65">
        <v>1298</v>
      </c>
      <c r="Y65">
        <v>1298</v>
      </c>
      <c r="Z65">
        <v>1298</v>
      </c>
      <c r="AA65">
        <v>300.3</v>
      </c>
      <c r="AB65">
        <v>32.1</v>
      </c>
      <c r="AC65">
        <v>268.2</v>
      </c>
      <c r="AD65">
        <v>144</v>
      </c>
      <c r="AE65">
        <v>305.7</v>
      </c>
      <c r="AJ65">
        <v>3.3153</v>
      </c>
      <c r="AK65">
        <v>0.3642</v>
      </c>
      <c r="AL65">
        <v>-25.38</v>
      </c>
      <c r="AM65">
        <v>-35.36</v>
      </c>
      <c r="AN65">
        <v>-18.4</v>
      </c>
      <c r="AO65">
        <v>736438.81</v>
      </c>
      <c r="AP65">
        <v>1164886917.8</v>
      </c>
      <c r="AQ65">
        <v>15841.91</v>
      </c>
      <c r="AR65" t="inlineStr">
        <is>
          <t xml:space="preserve">AVONET (Tobias et al. 2022)</t>
        </is>
      </c>
      <c r="AS65">
        <v>8.3172</v>
      </c>
      <c r="AT65" t="inlineStr">
        <is>
          <t xml:space="preserve">Bird et al. 2020, Table S4</t>
        </is>
      </c>
    </row>
    <row r="66">
      <c r="A66" t="inlineStr">
        <is>
          <t xml:space="preserve">33 (i)</t>
        </is>
      </c>
      <c r="B66" t="inlineStr">
        <is>
          <t xml:space="preserve">HERCAC-FALPER-SM</t>
        </is>
      </c>
      <c r="C66" t="inlineStr">
        <is>
          <t xml:space="preserve">HERCAC</t>
        </is>
      </c>
      <c r="D66" t="inlineStr">
        <is>
          <t xml:space="preserve">lesser flight capacity</t>
        </is>
      </c>
      <c r="E66" t="inlineStr">
        <is>
          <t xml:space="preserve">Herpetotheres cachinnans</t>
        </is>
      </c>
      <c r="G66" t="inlineStr">
        <is>
          <t xml:space="preserve">Australaves</t>
        </is>
      </c>
      <c r="H66" t="inlineStr">
        <is>
          <t xml:space="preserve">Falconiformes</t>
        </is>
      </c>
      <c r="I66" t="inlineStr">
        <is>
          <t xml:space="preserve">Falconidae</t>
        </is>
      </c>
      <c r="J66" t="inlineStr">
        <is>
          <t xml:space="preserve">to migratory</t>
        </is>
      </c>
      <c r="K66" t="inlineStr">
        <is>
          <t xml:space="preserve">sed.→migr.</t>
        </is>
      </c>
      <c r="L66" t="inlineStr">
        <is>
          <t xml:space="preserve">volant</t>
        </is>
      </c>
      <c r="M66" t="inlineStr">
        <is>
          <t xml:space="preserve">flap-gliding (FG)</t>
        </is>
      </c>
      <c r="O66" t="inlineStr">
        <is>
          <t xml:space="preserve">sedentary</t>
        </is>
      </c>
      <c r="Q66">
        <v>1</v>
      </c>
      <c r="R66" t="inlineStr">
        <is>
          <t xml:space="preserve">Insessorial</t>
        </is>
      </c>
      <c r="S66" t="inlineStr">
        <is>
          <t xml:space="preserve">Forest</t>
        </is>
      </c>
      <c r="T66">
        <v>18.919018</v>
      </c>
      <c r="U66">
        <v>19.119667</v>
      </c>
      <c r="V66">
        <v>-3.495309</v>
      </c>
      <c r="W66">
        <v>-2.989388</v>
      </c>
      <c r="X66">
        <v>623.58</v>
      </c>
      <c r="Y66">
        <v>379.975</v>
      </c>
      <c r="Z66">
        <v>623.58</v>
      </c>
      <c r="AA66">
        <v>272.4</v>
      </c>
      <c r="AB66">
        <v>51</v>
      </c>
      <c r="AC66">
        <v>217.8</v>
      </c>
      <c r="AD66">
        <v>58.9</v>
      </c>
      <c r="AE66">
        <v>219</v>
      </c>
      <c r="AJ66">
        <v>3.4621</v>
      </c>
      <c r="AK66">
        <v>-0.1739</v>
      </c>
      <c r="AL66">
        <v>-5.54</v>
      </c>
      <c r="AM66">
        <v>-29.26</v>
      </c>
      <c r="AN66">
        <v>28.93</v>
      </c>
      <c r="AO66">
        <v>13330796.59</v>
      </c>
      <c r="AP66">
        <v>1169964629.2</v>
      </c>
      <c r="AQ66">
        <v>15649.25</v>
      </c>
      <c r="AR66" t="inlineStr">
        <is>
          <t xml:space="preserve">AVONET (Tobias et al. 2022)</t>
        </is>
      </c>
      <c r="AS66">
        <v>7.1059</v>
      </c>
      <c r="AT66" t="inlineStr">
        <is>
          <t xml:space="preserve">Bird et al. 2020, Table S4</t>
        </is>
      </c>
    </row>
    <row r="67">
      <c r="A67" t="inlineStr">
        <is>
          <t xml:space="preserve">33 (i)</t>
        </is>
      </c>
      <c r="B67" t="inlineStr">
        <is>
          <t xml:space="preserve">HERCAC-FALPER-SM</t>
        </is>
      </c>
      <c r="C67" t="inlineStr">
        <is>
          <t xml:space="preserve">FALPER</t>
        </is>
      </c>
      <c r="D67" t="inlineStr">
        <is>
          <t xml:space="preserve">greater flight capacity</t>
        </is>
      </c>
      <c r="E67" t="inlineStr">
        <is>
          <t xml:space="preserve">Falco peregrinus</t>
        </is>
      </c>
      <c r="G67" t="inlineStr">
        <is>
          <t xml:space="preserve">Australaves</t>
        </is>
      </c>
      <c r="H67" t="inlineStr">
        <is>
          <t xml:space="preserve">Falconiformes</t>
        </is>
      </c>
      <c r="I67" t="inlineStr">
        <is>
          <t xml:space="preserve">Falconidae</t>
        </is>
      </c>
      <c r="J67" t="inlineStr">
        <is>
          <t xml:space="preserve">to migratory</t>
        </is>
      </c>
      <c r="K67" t="inlineStr">
        <is>
          <t xml:space="preserve">sed.→migr.</t>
        </is>
      </c>
      <c r="L67" t="inlineStr">
        <is>
          <t xml:space="preserve">volant</t>
        </is>
      </c>
      <c r="M67" t="inlineStr">
        <is>
          <t xml:space="preserve">continuous flapping (CF)</t>
        </is>
      </c>
      <c r="O67" t="inlineStr">
        <is>
          <t xml:space="preserve">migratory</t>
        </is>
      </c>
      <c r="P67" t="inlineStr">
        <is>
          <t xml:space="preserve">short–long, partial</t>
        </is>
      </c>
      <c r="Q67">
        <v>2</v>
      </c>
      <c r="R67" t="inlineStr">
        <is>
          <t xml:space="preserve">Aerial</t>
        </is>
      </c>
      <c r="S67" t="inlineStr">
        <is>
          <t xml:space="preserve">Grassland</t>
        </is>
      </c>
      <c r="T67">
        <v>55.422399</v>
      </c>
      <c r="U67">
        <v>46.474215</v>
      </c>
      <c r="V67">
        <v>-2.618269</v>
      </c>
      <c r="W67">
        <v>-2.137</v>
      </c>
      <c r="X67">
        <v>759.95</v>
      </c>
      <c r="Y67">
        <v>393.822</v>
      </c>
      <c r="Z67">
        <v>759.95</v>
      </c>
      <c r="AA67">
        <v>314.7</v>
      </c>
      <c r="AB67">
        <v>165</v>
      </c>
      <c r="AC67">
        <v>152.6</v>
      </c>
      <c r="AD67">
        <v>45.1</v>
      </c>
      <c r="AE67">
        <v>143</v>
      </c>
      <c r="AJ67">
        <v>3.5405</v>
      </c>
      <c r="AK67">
        <v>-0.2648</v>
      </c>
      <c r="AL67">
        <v>50.28</v>
      </c>
      <c r="AM67">
        <v>-55.98</v>
      </c>
      <c r="AN67">
        <v>80.18</v>
      </c>
      <c r="AO67">
        <v>38088662.45</v>
      </c>
      <c r="AP67">
        <v>1164244529</v>
      </c>
      <c r="AQ67">
        <v>15111.12</v>
      </c>
      <c r="AR67" t="inlineStr">
        <is>
          <t xml:space="preserve">AVONET (Tobias et al. 2022)</t>
        </is>
      </c>
      <c r="AS67">
        <v>5.7124</v>
      </c>
      <c r="AT67" t="inlineStr">
        <is>
          <t xml:space="preserve">Bird et al. 2020, Table S4</t>
        </is>
      </c>
    </row>
    <row r="68">
      <c r="A68" t="inlineStr">
        <is>
          <t xml:space="preserve">34</t>
        </is>
      </c>
      <c r="B68" t="inlineStr">
        <is>
          <t xml:space="preserve">NESNOT-MELUND-SM</t>
        </is>
      </c>
      <c r="C68" t="inlineStr">
        <is>
          <t xml:space="preserve">NESNOT</t>
        </is>
      </c>
      <c r="D68" t="inlineStr">
        <is>
          <t xml:space="preserve">lesser flight capacity</t>
        </is>
      </c>
      <c r="E68" t="inlineStr">
        <is>
          <t xml:space="preserve">Nestor notabilis</t>
        </is>
      </c>
      <c r="G68" t="inlineStr">
        <is>
          <t xml:space="preserve">Australaves</t>
        </is>
      </c>
      <c r="H68" t="inlineStr">
        <is>
          <t xml:space="preserve">Psittaciformes</t>
        </is>
      </c>
      <c r="J68" t="inlineStr">
        <is>
          <t xml:space="preserve">to migratory</t>
        </is>
      </c>
      <c r="K68" t="inlineStr">
        <is>
          <t xml:space="preserve">sed.→migr.</t>
        </is>
      </c>
      <c r="L68" t="inlineStr">
        <is>
          <t xml:space="preserve">volant</t>
        </is>
      </c>
      <c r="M68" t="inlineStr">
        <is>
          <t xml:space="preserve">continuous flapping (CF)</t>
        </is>
      </c>
      <c r="O68" t="inlineStr">
        <is>
          <t xml:space="preserve">sedentary</t>
        </is>
      </c>
      <c r="Q68">
        <v>1</v>
      </c>
      <c r="R68" t="inlineStr">
        <is>
          <t xml:space="preserve">Insessorial</t>
        </is>
      </c>
      <c r="S68" t="inlineStr">
        <is>
          <t xml:space="preserve">Grassland</t>
        </is>
      </c>
      <c r="T68">
        <v>34.487473</v>
      </c>
      <c r="U68">
        <v>29.941333</v>
      </c>
      <c r="V68">
        <v>-3.219784</v>
      </c>
      <c r="W68">
        <v>-3.516163</v>
      </c>
      <c r="X68">
        <v>862.97</v>
      </c>
      <c r="Y68">
        <v>1007.677</v>
      </c>
      <c r="Z68">
        <v>862.97</v>
      </c>
      <c r="AA68">
        <v>308.5</v>
      </c>
      <c r="AB68">
        <v>106.3</v>
      </c>
      <c r="AC68">
        <v>202.2</v>
      </c>
      <c r="AD68">
        <v>45.1</v>
      </c>
      <c r="AE68">
        <v>168.5</v>
      </c>
      <c r="AJ68">
        <v>3.4783</v>
      </c>
      <c r="AK68">
        <v>-0.0979</v>
      </c>
      <c r="AL68">
        <v>-43.37</v>
      </c>
      <c r="AM68">
        <v>-46.26</v>
      </c>
      <c r="AN68">
        <v>-40.78</v>
      </c>
      <c r="AO68">
        <v>63273.75</v>
      </c>
      <c r="AP68">
        <v>1076982616</v>
      </c>
      <c r="AQ68">
        <v>15176.53</v>
      </c>
      <c r="AR68" t="inlineStr">
        <is>
          <t xml:space="preserve">AVONET (Tobias et al. 2022)</t>
        </is>
      </c>
      <c r="AS68">
        <v>7.8762</v>
      </c>
      <c r="AT68" t="inlineStr">
        <is>
          <t xml:space="preserve">Bird et al. 2020, Table S4</t>
        </is>
      </c>
    </row>
    <row r="69">
      <c r="A69" t="inlineStr">
        <is>
          <t xml:space="preserve">34</t>
        </is>
      </c>
      <c r="B69" t="inlineStr">
        <is>
          <t xml:space="preserve">NESNOT-MELUND-SM</t>
        </is>
      </c>
      <c r="C69" t="inlineStr">
        <is>
          <t xml:space="preserve">MELUND</t>
        </is>
      </c>
      <c r="D69" t="inlineStr">
        <is>
          <t xml:space="preserve">greater flight capacity</t>
        </is>
      </c>
      <c r="E69" t="inlineStr">
        <is>
          <t xml:space="preserve">Melopsittacus undulatus</t>
        </is>
      </c>
      <c r="G69" t="inlineStr">
        <is>
          <t xml:space="preserve">Australaves</t>
        </is>
      </c>
      <c r="H69" t="inlineStr">
        <is>
          <t xml:space="preserve">Psittaciformes</t>
        </is>
      </c>
      <c r="J69" t="inlineStr">
        <is>
          <t xml:space="preserve">to migratory</t>
        </is>
      </c>
      <c r="K69" t="inlineStr">
        <is>
          <t xml:space="preserve">sed.→migr.</t>
        </is>
      </c>
      <c r="L69" t="inlineStr">
        <is>
          <t xml:space="preserve">volant</t>
        </is>
      </c>
      <c r="M69" t="inlineStr">
        <is>
          <t xml:space="preserve">continuous flapping (CF)</t>
        </is>
      </c>
      <c r="O69" t="inlineStr">
        <is>
          <t xml:space="preserve">migratory</t>
        </is>
      </c>
      <c r="P69" t="inlineStr">
        <is>
          <t xml:space="preserve">nomadic</t>
        </is>
      </c>
      <c r="Q69">
        <v>2</v>
      </c>
      <c r="R69" t="inlineStr">
        <is>
          <t xml:space="preserve">Generalist</t>
        </is>
      </c>
      <c r="S69" t="inlineStr">
        <is>
          <t xml:space="preserve">Woodland</t>
        </is>
      </c>
      <c r="T69">
        <v>50.820552</v>
      </c>
      <c r="U69">
        <v>40.53154</v>
      </c>
      <c r="V69">
        <v>0.56135</v>
      </c>
      <c r="W69">
        <v>-3.213322</v>
      </c>
      <c r="X69">
        <v>28.99</v>
      </c>
      <c r="Y69">
        <v>1007.677</v>
      </c>
      <c r="Z69">
        <v>28.99</v>
      </c>
      <c r="AA69">
        <v>95.4</v>
      </c>
      <c r="AB69">
        <v>48.4</v>
      </c>
      <c r="AC69">
        <v>46.9</v>
      </c>
      <c r="AD69">
        <v>12.4</v>
      </c>
      <c r="AE69">
        <v>93.2</v>
      </c>
      <c r="AJ69">
        <v>3.4358</v>
      </c>
      <c r="AK69">
        <v>-1.144</v>
      </c>
      <c r="AL69">
        <v>-25.84</v>
      </c>
      <c r="AM69">
        <v>-37.95</v>
      </c>
      <c r="AN69">
        <v>-13.96</v>
      </c>
      <c r="AO69">
        <v>5879807.51</v>
      </c>
      <c r="AP69">
        <v>1101580077</v>
      </c>
      <c r="AQ69">
        <v>13769.31</v>
      </c>
      <c r="AR69" t="inlineStr">
        <is>
          <t xml:space="preserve">AVONET (Tobias et al. 2022)</t>
        </is>
      </c>
      <c r="AS69">
        <v>3.8522</v>
      </c>
      <c r="AT69" t="inlineStr">
        <is>
          <t xml:space="preserve">Bird et al. 2020, Table S4</t>
        </is>
      </c>
    </row>
    <row r="70">
      <c r="A70" t="inlineStr">
        <is>
          <t xml:space="preserve">35</t>
        </is>
      </c>
      <c r="B70" t="inlineStr">
        <is>
          <t xml:space="preserve">MANMAN-LEPCOR-VV</t>
        </is>
      </c>
      <c r="C70" t="inlineStr">
        <is>
          <t xml:space="preserve">MANMAN</t>
        </is>
      </c>
      <c r="D70" t="inlineStr">
        <is>
          <t xml:space="preserve">lesser flight capacity</t>
        </is>
      </c>
      <c r="E70" t="inlineStr">
        <is>
          <t xml:space="preserve">Manacus manacus</t>
        </is>
      </c>
      <c r="G70" t="inlineStr">
        <is>
          <t xml:space="preserve">Australaves</t>
        </is>
      </c>
      <c r="H70" t="inlineStr">
        <is>
          <t xml:space="preserve">Passeriformes: Tyranni: Tyrannides: Piproidea</t>
        </is>
      </c>
      <c r="I70" t="inlineStr">
        <is>
          <t xml:space="preserve">Pipridae</t>
        </is>
      </c>
      <c r="J70" t="inlineStr">
        <is>
          <t xml:space="preserve">minimal</t>
        </is>
      </c>
      <c r="K70" t="inlineStr">
        <is>
          <t xml:space="preserve">N/A (sed.)</t>
        </is>
      </c>
      <c r="L70" t="inlineStr">
        <is>
          <t xml:space="preserve">volant</t>
        </is>
      </c>
      <c r="M70" t="inlineStr">
        <is>
          <t xml:space="preserve">continuous flapping (CF)</t>
        </is>
      </c>
      <c r="O70" t="inlineStr">
        <is>
          <t xml:space="preserve">sedentary</t>
        </is>
      </c>
      <c r="Q70">
        <v>1</v>
      </c>
      <c r="R70" t="inlineStr">
        <is>
          <t xml:space="preserve">Insessorial</t>
        </is>
      </c>
      <c r="S70" t="inlineStr">
        <is>
          <t xml:space="preserve">Forest</t>
        </is>
      </c>
      <c r="T70">
        <v>15.697984</v>
      </c>
      <c r="U70">
        <v>18.463281</v>
      </c>
      <c r="V70">
        <v>-0.061876</v>
      </c>
      <c r="W70">
        <v>0.197412</v>
      </c>
      <c r="X70">
        <v>16.7</v>
      </c>
      <c r="Y70">
        <v>15.156</v>
      </c>
      <c r="Z70">
        <v>16.7</v>
      </c>
      <c r="AA70">
        <v>52.2</v>
      </c>
      <c r="AB70">
        <v>8.4</v>
      </c>
      <c r="AC70">
        <v>44.5</v>
      </c>
      <c r="AD70">
        <v>20.9</v>
      </c>
      <c r="AE70">
        <v>32.8</v>
      </c>
      <c r="AJ70">
        <v>3.0166</v>
      </c>
      <c r="AK70">
        <v>-0.4896</v>
      </c>
      <c r="AL70">
        <v>-4.94</v>
      </c>
      <c r="AM70">
        <v>-28.87</v>
      </c>
      <c r="AN70">
        <v>12.46</v>
      </c>
      <c r="AO70">
        <v>7524946.19</v>
      </c>
      <c r="AP70">
        <v>1194692095.2</v>
      </c>
      <c r="AQ70">
        <v>15141.63</v>
      </c>
      <c r="AR70" t="inlineStr">
        <is>
          <t xml:space="preserve">AVONET (Tobias et al. 2022)</t>
        </is>
      </c>
      <c r="AS70">
        <v>3.6265</v>
      </c>
      <c r="AT70" t="inlineStr">
        <is>
          <t xml:space="preserve">Bird et al. 2020, Table S4</t>
        </is>
      </c>
    </row>
    <row r="71">
      <c r="A71" t="inlineStr">
        <is>
          <t xml:space="preserve">35</t>
        </is>
      </c>
      <c r="B71" t="inlineStr">
        <is>
          <t xml:space="preserve">MANMAN-LEPCOR-VV</t>
        </is>
      </c>
      <c r="C71" t="inlineStr">
        <is>
          <t xml:space="preserve">LEPCOR</t>
        </is>
      </c>
      <c r="D71" t="inlineStr">
        <is>
          <t xml:space="preserve">greater flight capacity</t>
        </is>
      </c>
      <c r="E71" t="inlineStr">
        <is>
          <t xml:space="preserve">Lepidothrix coronata</t>
        </is>
      </c>
      <c r="G71" t="inlineStr">
        <is>
          <t xml:space="preserve">Australaves</t>
        </is>
      </c>
      <c r="H71" t="inlineStr">
        <is>
          <t xml:space="preserve">Passeriformes: Tyranni: Tyrannides: Piproidea</t>
        </is>
      </c>
      <c r="I71" t="inlineStr">
        <is>
          <t xml:space="preserve">Pipridae</t>
        </is>
      </c>
      <c r="J71" t="inlineStr">
        <is>
          <t xml:space="preserve">minimal</t>
        </is>
      </c>
      <c r="K71" t="inlineStr">
        <is>
          <t xml:space="preserve">N/A (sed.)</t>
        </is>
      </c>
      <c r="L71" t="inlineStr">
        <is>
          <t xml:space="preserve">volant</t>
        </is>
      </c>
      <c r="M71" t="inlineStr">
        <is>
          <t xml:space="preserve">continuous flapping (CF)</t>
        </is>
      </c>
      <c r="O71" t="inlineStr">
        <is>
          <t xml:space="preserve">sedentary</t>
        </is>
      </c>
      <c r="Q71">
        <v>1</v>
      </c>
      <c r="R71" t="inlineStr">
        <is>
          <t xml:space="preserve">Insessorial</t>
        </is>
      </c>
      <c r="S71" t="inlineStr">
        <is>
          <t xml:space="preserve">Forest</t>
        </is>
      </c>
      <c r="T71">
        <v>18.391935</v>
      </c>
      <c r="U71">
        <v>19.288714</v>
      </c>
      <c r="V71">
        <v>0.790849</v>
      </c>
      <c r="W71">
        <v>0.738025</v>
      </c>
      <c r="X71">
        <v>8.34</v>
      </c>
      <c r="Y71">
        <v>9.221</v>
      </c>
      <c r="Z71">
        <v>8.34</v>
      </c>
      <c r="AA71">
        <v>56.8</v>
      </c>
      <c r="AB71">
        <v>10.2</v>
      </c>
      <c r="AC71">
        <v>47</v>
      </c>
      <c r="AD71">
        <v>14.2</v>
      </c>
      <c r="AE71">
        <v>26.6</v>
      </c>
      <c r="AJ71">
        <v>3.3325</v>
      </c>
      <c r="AK71">
        <v>-1.3528</v>
      </c>
      <c r="AL71">
        <v>-3.54</v>
      </c>
      <c r="AM71">
        <v>-17.39</v>
      </c>
      <c r="AN71">
        <v>9.77</v>
      </c>
      <c r="AO71">
        <v>3221211.22</v>
      </c>
      <c r="AP71">
        <v>1068315062.5</v>
      </c>
      <c r="AQ71">
        <v>15067.11</v>
      </c>
      <c r="AR71" t="inlineStr">
        <is>
          <t xml:space="preserve">AVONET (Tobias et al. 2022)</t>
        </is>
      </c>
      <c r="AS71">
        <v>2.1999</v>
      </c>
      <c r="AT71" t="inlineStr">
        <is>
          <t xml:space="preserve">Bird et al. 2020, Table S4</t>
        </is>
      </c>
    </row>
    <row r="72">
      <c r="A72" t="inlineStr">
        <is>
          <t xml:space="preserve">36</t>
        </is>
      </c>
      <c r="B72" t="inlineStr">
        <is>
          <t xml:space="preserve">SCYSUP-CAMPRO-DV</t>
        </is>
      </c>
      <c r="C72" t="inlineStr">
        <is>
          <t xml:space="preserve">SCYSUP</t>
        </is>
      </c>
      <c r="D72" t="inlineStr">
        <is>
          <t xml:space="preserve">lesser flight capacity</t>
        </is>
      </c>
      <c r="E72" t="inlineStr">
        <is>
          <t xml:space="preserve">Scytalopus superciliaris</t>
        </is>
      </c>
      <c r="G72" t="inlineStr">
        <is>
          <t xml:space="preserve">Australaves</t>
        </is>
      </c>
      <c r="H72" t="inlineStr">
        <is>
          <t xml:space="preserve">Passeriformes: Tyranni: Tyrannides: Furnarioidea</t>
        </is>
      </c>
      <c r="J72" t="inlineStr">
        <is>
          <t xml:space="preserve">toward limited flight</t>
        </is>
      </c>
      <c r="K72" t="inlineStr">
        <is>
          <t xml:space="preserve">N/A (sed.)</t>
        </is>
      </c>
      <c r="L72" t="inlineStr">
        <is>
          <t xml:space="preserve">limited</t>
        </is>
      </c>
      <c r="M72" t="inlineStr">
        <is>
          <t xml:space="preserve">limited flight (LF)</t>
        </is>
      </c>
      <c r="O72" t="inlineStr">
        <is>
          <t xml:space="preserve">sedentary</t>
        </is>
      </c>
      <c r="Q72">
        <v>1</v>
      </c>
      <c r="R72" t="inlineStr">
        <is>
          <t xml:space="preserve">Terrestrial</t>
        </is>
      </c>
      <c r="S72" t="inlineStr">
        <is>
          <t xml:space="preserve">Forest</t>
        </is>
      </c>
      <c r="T72">
        <v>15.480054</v>
      </c>
      <c r="U72">
        <v>9.538876</v>
      </c>
      <c r="V72">
        <v>-0.139646</v>
      </c>
      <c r="W72">
        <v>-1.182008</v>
      </c>
      <c r="X72">
        <v>17.8</v>
      </c>
      <c r="Y72">
        <v>31.105</v>
      </c>
      <c r="Z72">
        <v>17.8</v>
      </c>
      <c r="AA72">
        <v>51.6</v>
      </c>
      <c r="AB72">
        <v>8.1</v>
      </c>
      <c r="AC72">
        <v>45.1</v>
      </c>
      <c r="AD72">
        <v>19.6</v>
      </c>
      <c r="AE72">
        <v>36.9</v>
      </c>
      <c r="AJ72">
        <v>2.9838</v>
      </c>
      <c r="AK72">
        <v>-0.4027</v>
      </c>
      <c r="AL72">
        <v>-26.09</v>
      </c>
      <c r="AM72">
        <v>-29.7</v>
      </c>
      <c r="AN72">
        <v>-22.23</v>
      </c>
      <c r="AO72">
        <v>53108.46</v>
      </c>
      <c r="AP72">
        <v>1066557705.4</v>
      </c>
      <c r="AQ72">
        <v>15710.9</v>
      </c>
      <c r="AR72" t="inlineStr">
        <is>
          <t xml:space="preserve">AVONET (Tobias et al. 2022)</t>
        </is>
      </c>
      <c r="AS72">
        <v>3.0160</v>
      </c>
      <c r="AT72" t="inlineStr">
        <is>
          <t xml:space="preserve">Bird et al. 2020, Table S4</t>
        </is>
      </c>
    </row>
    <row r="73">
      <c r="A73" t="inlineStr">
        <is>
          <t xml:space="preserve">36</t>
        </is>
      </c>
      <c r="B73" t="inlineStr">
        <is>
          <t xml:space="preserve">SCYSUP-CAMPRO-DV</t>
        </is>
      </c>
      <c r="C73" t="inlineStr">
        <is>
          <t xml:space="preserve">CAMPRO</t>
        </is>
      </c>
      <c r="D73" t="inlineStr">
        <is>
          <t xml:space="preserve">greater flight capacity</t>
        </is>
      </c>
      <c r="E73" t="inlineStr">
        <is>
          <t xml:space="preserve">Campylorhamphus procurvoides</t>
        </is>
      </c>
      <c r="G73" t="inlineStr">
        <is>
          <t xml:space="preserve">Australaves</t>
        </is>
      </c>
      <c r="H73" t="inlineStr">
        <is>
          <t xml:space="preserve">Passeriformes: Tyranni: Tyrannides: Furnarioidea</t>
        </is>
      </c>
      <c r="J73" t="inlineStr">
        <is>
          <t xml:space="preserve">toward limited flight</t>
        </is>
      </c>
      <c r="K73" t="inlineStr">
        <is>
          <t xml:space="preserve">N/A (sed.)</t>
        </is>
      </c>
      <c r="L73" t="inlineStr">
        <is>
          <t xml:space="preserve">volant</t>
        </is>
      </c>
      <c r="M73" t="inlineStr">
        <is>
          <t xml:space="preserve">flap-gliding (FG)</t>
        </is>
      </c>
      <c r="O73" t="inlineStr">
        <is>
          <t xml:space="preserve">sedentary</t>
        </is>
      </c>
      <c r="Q73">
        <v>1</v>
      </c>
      <c r="R73" t="inlineStr">
        <is>
          <t xml:space="preserve">Insessorial</t>
        </is>
      </c>
      <c r="S73" t="inlineStr">
        <is>
          <t xml:space="preserve">Forest</t>
        </is>
      </c>
      <c r="T73">
        <v>18.454634</v>
      </c>
      <c r="U73">
        <v>16.153903</v>
      </c>
      <c r="V73">
        <v>-0.59623</v>
      </c>
      <c r="W73">
        <v>-0.710572</v>
      </c>
      <c r="X73">
        <v>33.5</v>
      </c>
      <c r="Y73">
        <v>32.876</v>
      </c>
      <c r="Z73">
        <v>33.5</v>
      </c>
      <c r="AA73">
        <v>95.3</v>
      </c>
      <c r="AB73">
        <v>17.2</v>
      </c>
      <c r="AC73">
        <v>78.1</v>
      </c>
      <c r="AD73">
        <v>19.2</v>
      </c>
      <c r="AE73">
        <v>86.4</v>
      </c>
      <c r="AJ73">
        <v>3.3865</v>
      </c>
      <c r="AK73">
        <v>-0.9973</v>
      </c>
      <c r="AL73">
        <v>-1</v>
      </c>
      <c r="AM73">
        <v>-9.23</v>
      </c>
      <c r="AN73">
        <v>8.66</v>
      </c>
      <c r="AO73">
        <v>2626180.12</v>
      </c>
      <c r="AP73">
        <v>1052497871.5</v>
      </c>
      <c r="AQ73">
        <v>15850.94</v>
      </c>
      <c r="AR73" t="inlineStr">
        <is>
          <t xml:space="preserve">AVONET (Tobias et al. 2022)</t>
        </is>
      </c>
      <c r="AS73">
        <v>3.0021</v>
      </c>
      <c r="AT73" t="inlineStr">
        <is>
          <t xml:space="preserve">Bird et al. 2020, Table S4</t>
        </is>
      </c>
    </row>
    <row r="74">
      <c r="A74" t="inlineStr">
        <is>
          <t xml:space="preserve">37</t>
        </is>
      </c>
      <c r="B74" t="inlineStr">
        <is>
          <t xml:space="preserve">MENNOV-ATRCLA-DD</t>
        </is>
      </c>
      <c r="C74" t="inlineStr">
        <is>
          <t xml:space="preserve">ATRCLA</t>
        </is>
      </c>
      <c r="D74" t="inlineStr">
        <is>
          <t xml:space="preserve">lesser flight capacity</t>
        </is>
      </c>
      <c r="E74" t="inlineStr">
        <is>
          <t xml:space="preserve">Atrichornis clamosus</t>
        </is>
      </c>
      <c r="G74" t="inlineStr">
        <is>
          <t xml:space="preserve">Australaves</t>
        </is>
      </c>
      <c r="H74" t="inlineStr">
        <is>
          <t xml:space="preserve">Passeriformes: Passeri: Menurides</t>
        </is>
      </c>
      <c r="J74" t="inlineStr">
        <is>
          <t xml:space="preserve">minimal</t>
        </is>
      </c>
      <c r="K74" t="inlineStr">
        <is>
          <t xml:space="preserve">N/A (sed.)</t>
        </is>
      </c>
      <c r="L74" t="inlineStr">
        <is>
          <t xml:space="preserve">limited</t>
        </is>
      </c>
      <c r="M74" t="inlineStr">
        <is>
          <t xml:space="preserve">limited flight (LF)</t>
        </is>
      </c>
      <c r="O74" t="inlineStr">
        <is>
          <t xml:space="preserve">sedentary</t>
        </is>
      </c>
      <c r="Q74">
        <v>1</v>
      </c>
      <c r="R74" t="inlineStr">
        <is>
          <t xml:space="preserve">Terrestrial</t>
        </is>
      </c>
      <c r="S74" t="inlineStr">
        <is>
          <t xml:space="preserve">Shrubland</t>
        </is>
      </c>
      <c r="T74">
        <v>6.027397</v>
      </c>
      <c r="U74">
        <v>8.326096</v>
      </c>
      <c r="V74">
        <v>-1.944919</v>
      </c>
      <c r="W74">
        <v>-1.379383</v>
      </c>
      <c r="X74">
        <v>42.15</v>
      </c>
      <c r="Y74">
        <v>33.075</v>
      </c>
      <c r="Z74">
        <v>42.15</v>
      </c>
      <c r="AA74">
        <v>74.3</v>
      </c>
      <c r="AB74">
        <v>4.4</v>
      </c>
      <c r="AC74">
        <v>68.6</v>
      </c>
      <c r="AD74">
        <v>25.7</v>
      </c>
      <c r="AE74">
        <v>104.3</v>
      </c>
      <c r="AJ74">
        <v>3.061</v>
      </c>
      <c r="AK74">
        <v>-0.2698</v>
      </c>
      <c r="AL74">
        <v>-34.31</v>
      </c>
      <c r="AM74">
        <v>-35.02</v>
      </c>
      <c r="AN74">
        <v>-33.03</v>
      </c>
      <c r="AO74">
        <v>163.91</v>
      </c>
      <c r="AP74">
        <v>1064545541.6</v>
      </c>
      <c r="AQ74">
        <v>16939.76</v>
      </c>
      <c r="AR74" t="inlineStr">
        <is>
          <t xml:space="preserve">AVONET (Tobias et al. 2022)</t>
        </is>
      </c>
      <c r="AS74">
        <v>4.3141</v>
      </c>
      <c r="AT74" t="inlineStr">
        <is>
          <t xml:space="preserve">Bird et al. 2020, Table S4</t>
        </is>
      </c>
    </row>
    <row r="75">
      <c r="A75" t="inlineStr">
        <is>
          <t xml:space="preserve">37</t>
        </is>
      </c>
      <c r="B75" t="inlineStr">
        <is>
          <t xml:space="preserve">MENNOV-ATRCLA-DD</t>
        </is>
      </c>
      <c r="C75" t="inlineStr">
        <is>
          <t xml:space="preserve">MENNOV</t>
        </is>
      </c>
      <c r="D75" t="inlineStr">
        <is>
          <t xml:space="preserve">greater flight capacity</t>
        </is>
      </c>
      <c r="E75" t="inlineStr">
        <is>
          <t xml:space="preserve">Menura novaehollandiae</t>
        </is>
      </c>
      <c r="G75" t="inlineStr">
        <is>
          <t xml:space="preserve">Australaves</t>
        </is>
      </c>
      <c r="H75" t="inlineStr">
        <is>
          <t xml:space="preserve">Passeriformes: Passeri: Menurides</t>
        </is>
      </c>
      <c r="J75" t="inlineStr">
        <is>
          <t xml:space="preserve">minimal</t>
        </is>
      </c>
      <c r="K75" t="inlineStr">
        <is>
          <t xml:space="preserve">N/A (sed.)</t>
        </is>
      </c>
      <c r="L75" t="inlineStr">
        <is>
          <t xml:space="preserve">limited</t>
        </is>
      </c>
      <c r="M75" t="inlineStr">
        <is>
          <t xml:space="preserve">limited flight (LF)</t>
        </is>
      </c>
      <c r="O75" t="inlineStr">
        <is>
          <t xml:space="preserve">sedentary</t>
        </is>
      </c>
      <c r="Q75">
        <v>1</v>
      </c>
      <c r="R75" t="inlineStr">
        <is>
          <t xml:space="preserve">Terrestrial</t>
        </is>
      </c>
      <c r="S75" t="inlineStr">
        <is>
          <t xml:space="preserve">Forest</t>
        </is>
      </c>
      <c r="T75">
        <v>1.97063</v>
      </c>
      <c r="U75">
        <v>2.608722</v>
      </c>
      <c r="V75">
        <v>-6.20164</v>
      </c>
      <c r="W75">
        <v>-5.897928</v>
      </c>
      <c r="X75">
        <v>972.62</v>
      </c>
      <c r="Y75">
        <v>950.31</v>
      </c>
      <c r="Z75">
        <v>972.62</v>
      </c>
      <c r="AA75">
        <v>280.9</v>
      </c>
      <c r="AB75">
        <v>5.7</v>
      </c>
      <c r="AC75">
        <v>281.6</v>
      </c>
      <c r="AD75">
        <v>109.5</v>
      </c>
      <c r="AE75">
        <v>582.7</v>
      </c>
      <c r="AJ75">
        <v>3.3447</v>
      </c>
      <c r="AK75">
        <v>0.2092</v>
      </c>
      <c r="AL75">
        <v>-32.65</v>
      </c>
      <c r="AM75">
        <v>-37.85</v>
      </c>
      <c r="AN75">
        <v>-26.55</v>
      </c>
      <c r="AO75">
        <v>324756.71</v>
      </c>
      <c r="AP75">
        <v>1053652877.7</v>
      </c>
      <c r="AQ75">
        <v>15812.88</v>
      </c>
      <c r="AR75" t="inlineStr">
        <is>
          <t xml:space="preserve">AVONET (Tobias et al. 2022)</t>
        </is>
      </c>
      <c r="AS75">
        <v>12.6722</v>
      </c>
      <c r="AT75" t="inlineStr">
        <is>
          <t xml:space="preserve">Bird et al. 2020, Table S4</t>
        </is>
      </c>
    </row>
    <row r="76">
      <c r="A76" t="inlineStr">
        <is>
          <t xml:space="preserve">38</t>
        </is>
      </c>
      <c r="B76" t="inlineStr">
        <is>
          <t xml:space="preserve">ORTSPA-POSRUF-DV</t>
        </is>
      </c>
      <c r="C76" t="inlineStr">
        <is>
          <t xml:space="preserve">ORTSPA</t>
        </is>
      </c>
      <c r="D76" t="inlineStr">
        <is>
          <t xml:space="preserve">lesser flight capacity</t>
        </is>
      </c>
      <c r="E76" t="inlineStr">
        <is>
          <t xml:space="preserve">Orthonyx spaldingii</t>
        </is>
      </c>
      <c r="G76" t="inlineStr">
        <is>
          <t xml:space="preserve">Australaves</t>
        </is>
      </c>
      <c r="H76" t="inlineStr">
        <is>
          <t xml:space="preserve">Passeriformes: Passeri: Orthonycides</t>
        </is>
      </c>
      <c r="J76" t="inlineStr">
        <is>
          <t xml:space="preserve">toward limited flight</t>
        </is>
      </c>
      <c r="K76" t="inlineStr">
        <is>
          <t xml:space="preserve">N/A (sed.)</t>
        </is>
      </c>
      <c r="L76" t="inlineStr">
        <is>
          <t xml:space="preserve">limited</t>
        </is>
      </c>
      <c r="M76" t="inlineStr">
        <is>
          <t xml:space="preserve">limited flight (LF)</t>
        </is>
      </c>
      <c r="O76" t="inlineStr">
        <is>
          <t xml:space="preserve">sedentary</t>
        </is>
      </c>
      <c r="Q76">
        <v>1</v>
      </c>
      <c r="R76" t="inlineStr">
        <is>
          <t xml:space="preserve">Terrestrial</t>
        </is>
      </c>
      <c r="S76" t="inlineStr">
        <is>
          <t xml:space="preserve">Forest</t>
        </is>
      </c>
      <c r="T76">
        <v>11.151011</v>
      </c>
      <c r="U76">
        <v>10.541643</v>
      </c>
      <c r="V76">
        <v>-2.598505</v>
      </c>
      <c r="W76">
        <v>-2.129663</v>
      </c>
      <c r="X76">
        <v>149.91</v>
      </c>
      <c r="Y76">
        <v>88.677</v>
      </c>
      <c r="Z76">
        <v>149.91</v>
      </c>
      <c r="AA76">
        <v>122.3</v>
      </c>
      <c r="AB76">
        <v>13.4</v>
      </c>
      <c r="AC76">
        <v>107</v>
      </c>
      <c r="AD76">
        <v>42</v>
      </c>
      <c r="AE76">
        <v>103.3</v>
      </c>
      <c r="AJ76">
        <v>3.1365</v>
      </c>
      <c r="AK76">
        <v>0.0023</v>
      </c>
      <c r="AL76">
        <v>-17.67</v>
      </c>
      <c r="AM76">
        <v>-19.63</v>
      </c>
      <c r="AN76">
        <v>-15.09</v>
      </c>
      <c r="AO76">
        <v>23436.79</v>
      </c>
      <c r="AP76">
        <v>1033933681.6</v>
      </c>
      <c r="AQ76">
        <v>15831.36</v>
      </c>
      <c r="AR76" t="inlineStr">
        <is>
          <t xml:space="preserve">AVONET (Tobias et al. 2022)</t>
        </is>
      </c>
      <c r="AS76">
        <v>5.8123</v>
      </c>
      <c r="AT76" t="inlineStr">
        <is>
          <t xml:space="preserve">Bird et al. 2020, Table S4</t>
        </is>
      </c>
    </row>
    <row r="77">
      <c r="A77" t="inlineStr">
        <is>
          <t xml:space="preserve">38</t>
        </is>
      </c>
      <c r="B77" t="inlineStr">
        <is>
          <t xml:space="preserve">ORTSPA-POSRUF-DV</t>
        </is>
      </c>
      <c r="C77" t="inlineStr">
        <is>
          <t xml:space="preserve">POSRUF</t>
        </is>
      </c>
      <c r="D77" t="inlineStr">
        <is>
          <t xml:space="preserve">greater flight capacity</t>
        </is>
      </c>
      <c r="E77" t="inlineStr">
        <is>
          <t xml:space="preserve">Pomatostomus ruficeps</t>
        </is>
      </c>
      <c r="G77" t="inlineStr">
        <is>
          <t xml:space="preserve">Australaves</t>
        </is>
      </c>
      <c r="H77" t="inlineStr">
        <is>
          <t xml:space="preserve">Passeriformes: Passeri: Orthonycides</t>
        </is>
      </c>
      <c r="J77" t="inlineStr">
        <is>
          <t xml:space="preserve">toward limited flight</t>
        </is>
      </c>
      <c r="K77" t="inlineStr">
        <is>
          <t xml:space="preserve">N/A (sed.)</t>
        </is>
      </c>
      <c r="L77" t="inlineStr">
        <is>
          <t xml:space="preserve">volant</t>
        </is>
      </c>
      <c r="M77" t="inlineStr">
        <is>
          <t xml:space="preserve">flap-gliding (FG)</t>
        </is>
      </c>
      <c r="O77" t="inlineStr">
        <is>
          <t xml:space="preserve">sedentary</t>
        </is>
      </c>
      <c r="Q77">
        <v>2</v>
      </c>
      <c r="R77" t="inlineStr">
        <is>
          <t xml:space="preserve">Generalist</t>
        </is>
      </c>
      <c r="S77" t="inlineStr">
        <is>
          <t xml:space="preserve">Shrubland</t>
        </is>
      </c>
      <c r="T77">
        <v>11.73244</v>
      </c>
      <c r="U77">
        <v>10.772145</v>
      </c>
      <c r="V77">
        <v>-1.594631</v>
      </c>
      <c r="W77">
        <v>-1.612576</v>
      </c>
      <c r="X77">
        <v>57.8</v>
      </c>
      <c r="Y77">
        <v>54.03</v>
      </c>
      <c r="Z77">
        <v>57.8</v>
      </c>
      <c r="AA77">
        <v>85.9</v>
      </c>
      <c r="AB77">
        <v>10.1</v>
      </c>
      <c r="AC77">
        <v>75.4</v>
      </c>
      <c r="AD77">
        <v>28.2</v>
      </c>
      <c r="AE77">
        <v>89.2</v>
      </c>
      <c r="AJ77">
        <v>3.1009</v>
      </c>
      <c r="AK77">
        <v>-0.2442</v>
      </c>
      <c r="AL77">
        <v>-30.72</v>
      </c>
      <c r="AM77">
        <v>-37.09</v>
      </c>
      <c r="AN77">
        <v>-24.69</v>
      </c>
      <c r="AO77">
        <v>1074854.31</v>
      </c>
      <c r="AP77">
        <v>1050341548.1</v>
      </c>
      <c r="AQ77">
        <v>16018.33</v>
      </c>
      <c r="AR77" t="inlineStr">
        <is>
          <t xml:space="preserve">AVONET (Tobias et al. 2022)</t>
        </is>
      </c>
      <c r="AS77">
        <v>3.4338</v>
      </c>
      <c r="AT77" t="inlineStr">
        <is>
          <t xml:space="preserve">Bird et al. 2020, Table S4</t>
        </is>
      </c>
    </row>
    <row r="78">
      <c r="A78" t="inlineStr">
        <is>
          <t xml:space="preserve">39</t>
        </is>
      </c>
      <c r="B78" t="inlineStr">
        <is>
          <t xml:space="preserve">APHCOE-CORBRA-SM</t>
        </is>
      </c>
      <c r="C78" t="inlineStr">
        <is>
          <t xml:space="preserve">APHCOE</t>
        </is>
      </c>
      <c r="D78" t="inlineStr">
        <is>
          <t xml:space="preserve">lesser flight capacity</t>
        </is>
      </c>
      <c r="E78" t="inlineStr">
        <is>
          <t xml:space="preserve">Aphelocoma coerulescens</t>
        </is>
      </c>
      <c r="G78" t="inlineStr">
        <is>
          <t xml:space="preserve">Australaves</t>
        </is>
      </c>
      <c r="H78" t="inlineStr">
        <is>
          <t xml:space="preserve">Passeriformes: Passeri: Corvides: Corvoidea</t>
        </is>
      </c>
      <c r="I78" t="inlineStr">
        <is>
          <t xml:space="preserve">Corvidae</t>
        </is>
      </c>
      <c r="J78" t="inlineStr">
        <is>
          <t xml:space="preserve">to migratory</t>
        </is>
      </c>
      <c r="K78" t="inlineStr">
        <is>
          <t xml:space="preserve">sed.→migr.</t>
        </is>
      </c>
      <c r="L78" t="inlineStr">
        <is>
          <t xml:space="preserve">volant</t>
        </is>
      </c>
      <c r="M78" t="inlineStr">
        <is>
          <t xml:space="preserve">flap-gliding (FG)</t>
        </is>
      </c>
      <c r="O78" t="inlineStr">
        <is>
          <t xml:space="preserve">sedentary</t>
        </is>
      </c>
      <c r="Q78">
        <v>1</v>
      </c>
      <c r="R78" t="inlineStr">
        <is>
          <t xml:space="preserve">Insessorial</t>
        </is>
      </c>
      <c r="S78" t="inlineStr">
        <is>
          <t xml:space="preserve">Shrubland</t>
        </is>
      </c>
      <c r="T78">
        <v>16.480801</v>
      </c>
      <c r="U78">
        <v>12.782257</v>
      </c>
      <c r="V78">
        <v>-1.543167</v>
      </c>
      <c r="W78">
        <v>-2.405994</v>
      </c>
      <c r="X78">
        <v>77.12</v>
      </c>
      <c r="Y78">
        <v>141.748</v>
      </c>
      <c r="Z78">
        <v>77.12</v>
      </c>
      <c r="AA78">
        <v>116.7</v>
      </c>
      <c r="AB78">
        <v>20.6</v>
      </c>
      <c r="AC78">
        <v>96.2</v>
      </c>
      <c r="AD78">
        <v>37.8</v>
      </c>
      <c r="AE78">
        <v>140.5</v>
      </c>
      <c r="AJ78">
        <v>3.3112</v>
      </c>
      <c r="AK78">
        <v>-0.5687</v>
      </c>
      <c r="AL78">
        <v>28.13</v>
      </c>
      <c r="AM78">
        <v>26.47</v>
      </c>
      <c r="AN78">
        <v>29.57</v>
      </c>
      <c r="AO78">
        <v>6933.22</v>
      </c>
      <c r="AP78">
        <v>1047053180.3</v>
      </c>
      <c r="AQ78">
        <v>15338.03</v>
      </c>
      <c r="AR78" t="inlineStr">
        <is>
          <t xml:space="preserve">AVONET (Tobias et al. 2022)</t>
        </is>
      </c>
      <c r="AS78">
        <v>5.1755</v>
      </c>
      <c r="AT78" t="inlineStr">
        <is>
          <t xml:space="preserve">Bird et al. 2020, Table S4</t>
        </is>
      </c>
    </row>
    <row r="79">
      <c r="A79" t="inlineStr">
        <is>
          <t xml:space="preserve">39</t>
        </is>
      </c>
      <c r="B79" t="inlineStr">
        <is>
          <t xml:space="preserve">APHCOE-CORBRA-SM</t>
        </is>
      </c>
      <c r="C79" t="inlineStr">
        <is>
          <t xml:space="preserve">CORBRA</t>
        </is>
      </c>
      <c r="D79" t="inlineStr">
        <is>
          <t xml:space="preserve">greater flight capacity</t>
        </is>
      </c>
      <c r="E79" t="inlineStr">
        <is>
          <t xml:space="preserve">Corvus brachyrhynchos</t>
        </is>
      </c>
      <c r="G79" t="inlineStr">
        <is>
          <t xml:space="preserve">Australaves</t>
        </is>
      </c>
      <c r="H79" t="inlineStr">
        <is>
          <t xml:space="preserve">Passeriformes: Passeri: Corvides: Corvoidea</t>
        </is>
      </c>
      <c r="I79" t="inlineStr">
        <is>
          <t xml:space="preserve">Corvidae</t>
        </is>
      </c>
      <c r="J79" t="inlineStr">
        <is>
          <t xml:space="preserve">to migratory</t>
        </is>
      </c>
      <c r="K79" t="inlineStr">
        <is>
          <t xml:space="preserve">sed.→migr.</t>
        </is>
      </c>
      <c r="L79" t="inlineStr">
        <is>
          <t xml:space="preserve">volant</t>
        </is>
      </c>
      <c r="M79" t="inlineStr">
        <is>
          <t xml:space="preserve">flap-gliding (FG)</t>
        </is>
      </c>
      <c r="O79" t="inlineStr">
        <is>
          <t xml:space="preserve">migratory</t>
        </is>
      </c>
      <c r="P79" t="inlineStr">
        <is>
          <t xml:space="preserve">short–medium, partial</t>
        </is>
      </c>
      <c r="Q79">
        <v>2</v>
      </c>
      <c r="R79" t="inlineStr">
        <is>
          <t xml:space="preserve">Terrestrial</t>
        </is>
      </c>
      <c r="S79" t="inlineStr">
        <is>
          <t xml:space="preserve">Human Modified</t>
        </is>
      </c>
      <c r="T79">
        <v>35.216608</v>
      </c>
      <c r="U79">
        <v>32.016191</v>
      </c>
      <c r="V79">
        <v>-2.54497</v>
      </c>
      <c r="W79">
        <v>-2.515708</v>
      </c>
      <c r="X79">
        <v>448.76</v>
      </c>
      <c r="Y79">
        <v>396.212</v>
      </c>
      <c r="Z79">
        <v>448.76</v>
      </c>
      <c r="AA79">
        <v>309.6</v>
      </c>
      <c r="AB79">
        <v>109.1</v>
      </c>
      <c r="AC79">
        <v>199.9</v>
      </c>
      <c r="AD79">
        <v>59.3</v>
      </c>
      <c r="AE79">
        <v>177.3</v>
      </c>
      <c r="AJ79">
        <v>3.6998</v>
      </c>
      <c r="AK79">
        <v>-0.7589</v>
      </c>
      <c r="AL79">
        <v>46.23</v>
      </c>
      <c r="AM79">
        <v>24.53</v>
      </c>
      <c r="AN79">
        <v>63.75</v>
      </c>
      <c r="AO79">
        <v>11573830.54</v>
      </c>
      <c r="AP79">
        <v>1081915449.9</v>
      </c>
      <c r="AQ79">
        <v>14548.45</v>
      </c>
      <c r="AR79" t="inlineStr">
        <is>
          <t xml:space="preserve">AVONET (Tobias et al. 2022)</t>
        </is>
      </c>
      <c r="AS79">
        <v>7.9936</v>
      </c>
      <c r="AT79" t="inlineStr">
        <is>
          <t xml:space="preserve">Bird et al. 2020, Table S4</t>
        </is>
      </c>
    </row>
    <row r="80">
      <c r="A80" t="inlineStr">
        <is>
          <t xml:space="preserve">40</t>
        </is>
      </c>
      <c r="B80" t="inlineStr">
        <is>
          <t xml:space="preserve">PANBIA-ALACHE-SM</t>
        </is>
      </c>
      <c r="C80" t="inlineStr">
        <is>
          <t xml:space="preserve">PANBIA</t>
        </is>
      </c>
      <c r="D80" t="inlineStr">
        <is>
          <t xml:space="preserve">lesser flight capacity</t>
        </is>
      </c>
      <c r="E80" t="inlineStr">
        <is>
          <t xml:space="preserve">Panurus biarmicus</t>
        </is>
      </c>
      <c r="G80" t="inlineStr">
        <is>
          <t xml:space="preserve">Australaves</t>
        </is>
      </c>
      <c r="H80" t="inlineStr">
        <is>
          <t xml:space="preserve">Passeriformes: Passeri: Corvides: Sylvioidea</t>
        </is>
      </c>
      <c r="J80" t="inlineStr">
        <is>
          <t xml:space="preserve">to migratory</t>
        </is>
      </c>
      <c r="K80" t="inlineStr">
        <is>
          <t xml:space="preserve">sed.→migr.</t>
        </is>
      </c>
      <c r="L80" t="inlineStr">
        <is>
          <t xml:space="preserve">volant</t>
        </is>
      </c>
      <c r="M80" t="inlineStr">
        <is>
          <t xml:space="preserve">flap-gliding (FG)</t>
        </is>
      </c>
      <c r="O80" t="inlineStr">
        <is>
          <t xml:space="preserve">sedentary</t>
        </is>
      </c>
      <c r="P80" t="inlineStr">
        <is>
          <t xml:space="preserve">(restr. short + irruptive)</t>
        </is>
      </c>
      <c r="Q80">
        <v>2</v>
      </c>
      <c r="R80" t="inlineStr">
        <is>
          <t xml:space="preserve">Insessorial</t>
        </is>
      </c>
      <c r="S80" t="inlineStr">
        <is>
          <t xml:space="preserve">Wetland</t>
        </is>
      </c>
      <c r="T80">
        <v>21.811327</v>
      </c>
      <c r="U80">
        <v>21.811327</v>
      </c>
      <c r="V80">
        <v>0.456313</v>
      </c>
      <c r="W80">
        <v>0.456313</v>
      </c>
      <c r="X80">
        <v>13.82</v>
      </c>
      <c r="Y80">
        <v>13.82</v>
      </c>
      <c r="Z80">
        <v>13.82</v>
      </c>
      <c r="AA80">
        <v>60</v>
      </c>
      <c r="AB80">
        <v>13.3</v>
      </c>
      <c r="AC80">
        <v>46.8</v>
      </c>
      <c r="AD80">
        <v>19.5</v>
      </c>
      <c r="AE80">
        <v>82.4</v>
      </c>
      <c r="AJ80">
        <v>3.219</v>
      </c>
      <c r="AK80">
        <v>-0.9574</v>
      </c>
      <c r="AL80">
        <v>44.98</v>
      </c>
      <c r="AM80">
        <v>32.86</v>
      </c>
      <c r="AN80">
        <v>65.29</v>
      </c>
      <c r="AO80">
        <v>11689099.28</v>
      </c>
      <c r="AP80">
        <v>929869190.9</v>
      </c>
      <c r="AQ80">
        <v>15562.79</v>
      </c>
      <c r="AR80" t="inlineStr">
        <is>
          <t xml:space="preserve">AVONET (Tobias et al. 2022)</t>
        </is>
      </c>
      <c r="AS80">
        <v>2.1425</v>
      </c>
      <c r="AT80" t="inlineStr">
        <is>
          <t xml:space="preserve">Bird et al. 2020, Table S4</t>
        </is>
      </c>
    </row>
    <row r="81">
      <c r="A81" t="inlineStr">
        <is>
          <t xml:space="preserve">40</t>
        </is>
      </c>
      <c r="B81" t="inlineStr">
        <is>
          <t xml:space="preserve">PANBIA-ALACHE-SM</t>
        </is>
      </c>
      <c r="C81" t="inlineStr">
        <is>
          <t xml:space="preserve">ALACHE</t>
        </is>
      </c>
      <c r="D81" t="inlineStr">
        <is>
          <t xml:space="preserve">greater flight capacity</t>
        </is>
      </c>
      <c r="E81" t="inlineStr">
        <is>
          <t xml:space="preserve">Alaudala cheleensis</t>
        </is>
      </c>
      <c r="F81" t="inlineStr">
        <is>
          <t xml:space="preserve">Alaudala rufescens</t>
        </is>
      </c>
      <c r="G81" t="inlineStr">
        <is>
          <t xml:space="preserve">Australaves</t>
        </is>
      </c>
      <c r="H81" t="inlineStr">
        <is>
          <t xml:space="preserve">Passeriformes: Passeri: Corvides: Sylvioidea</t>
        </is>
      </c>
      <c r="J81" t="inlineStr">
        <is>
          <t xml:space="preserve">to migratory</t>
        </is>
      </c>
      <c r="K81" t="inlineStr">
        <is>
          <t xml:space="preserve">sed.→migr.</t>
        </is>
      </c>
      <c r="L81" t="inlineStr">
        <is>
          <t xml:space="preserve">volant</t>
        </is>
      </c>
      <c r="M81" t="inlineStr">
        <is>
          <t xml:space="preserve">flap-gliding (FG)</t>
        </is>
      </c>
      <c r="O81" t="inlineStr">
        <is>
          <t xml:space="preserve">migratory</t>
        </is>
      </c>
      <c r="P81" t="inlineStr">
        <is>
          <t xml:space="preserve">short, partial</t>
        </is>
      </c>
      <c r="Q81">
        <v>2</v>
      </c>
      <c r="R81" t="inlineStr">
        <is>
          <t xml:space="preserve">Terrestrial</t>
        </is>
      </c>
      <c r="S81" t="inlineStr">
        <is>
          <t xml:space="preserve">Grassland</t>
        </is>
      </c>
      <c r="T81">
        <v>28.346496</v>
      </c>
      <c r="U81">
        <v>24.14003</v>
      </c>
      <c r="V81">
        <v>0.244411</v>
      </c>
      <c r="W81">
        <v>-0.212034</v>
      </c>
      <c r="X81">
        <v>22.2</v>
      </c>
      <c r="Y81">
        <v>29.842</v>
      </c>
      <c r="Z81">
        <v>24.1</v>
      </c>
      <c r="AA81">
        <v>86.3</v>
      </c>
      <c r="AB81">
        <v>25.5</v>
      </c>
      <c r="AC81">
        <v>60.7</v>
      </c>
      <c r="AD81">
        <v>18.3</v>
      </c>
      <c r="AE81">
        <v>59.2</v>
      </c>
      <c r="AJ81">
        <v>3.3971</v>
      </c>
      <c r="AK81">
        <v>-1.1283</v>
      </c>
      <c r="AL81">
        <v>41.63</v>
      </c>
      <c r="AM81">
        <v>22.92</v>
      </c>
      <c r="AN81">
        <v>54.52</v>
      </c>
      <c r="AO81">
        <v>11413124.26</v>
      </c>
      <c r="AP81">
        <v>1087868626.3</v>
      </c>
      <c r="AQ81">
        <v>16512.64</v>
      </c>
      <c r="AR81" t="inlineStr">
        <is>
          <t xml:space="preserve">AVONET (Tobias et al. 2022)</t>
        </is>
      </c>
      <c r="AS81">
        <v>2.0553</v>
      </c>
      <c r="AT81" t="inlineStr">
        <is>
          <t xml:space="preserve">Bird et al. 2020, Table S4</t>
        </is>
      </c>
    </row>
    <row r="82">
      <c r="A82" t="inlineStr">
        <is>
          <t xml:space="preserve">41</t>
        </is>
      </c>
      <c r="B82" t="inlineStr">
        <is>
          <t xml:space="preserve">TAEGUT-LONSTR-VV</t>
        </is>
      </c>
      <c r="C82" t="inlineStr">
        <is>
          <t xml:space="preserve">LONSTR</t>
        </is>
      </c>
      <c r="D82" t="inlineStr">
        <is>
          <t xml:space="preserve">lesser flight capacity</t>
        </is>
      </c>
      <c r="E82" t="inlineStr">
        <is>
          <t xml:space="preserve">Lonchura striata</t>
        </is>
      </c>
      <c r="G82" t="inlineStr">
        <is>
          <t xml:space="preserve">Australaves</t>
        </is>
      </c>
      <c r="H82" t="inlineStr">
        <is>
          <t xml:space="preserve">Passeriformes: Passeri: Passerides: Passeroidea</t>
        </is>
      </c>
      <c r="I82" t="inlineStr">
        <is>
          <t xml:space="preserve">Estrildidae</t>
        </is>
      </c>
      <c r="J82" t="inlineStr">
        <is>
          <t xml:space="preserve">to migratory</t>
        </is>
      </c>
      <c r="K82" t="inlineStr">
        <is>
          <t xml:space="preserve">sed.→migr.</t>
        </is>
      </c>
      <c r="L82" t="inlineStr">
        <is>
          <t xml:space="preserve">volant</t>
        </is>
      </c>
      <c r="M82" t="inlineStr">
        <is>
          <t xml:space="preserve">intermittent bounding (IB)</t>
        </is>
      </c>
      <c r="O82" t="inlineStr">
        <is>
          <t xml:space="preserve">sedentary</t>
        </is>
      </c>
      <c r="Q82">
        <v>1</v>
      </c>
      <c r="R82" t="inlineStr">
        <is>
          <t xml:space="preserve">Insessorial</t>
        </is>
      </c>
      <c r="S82" t="inlineStr">
        <is>
          <t xml:space="preserve">Shrubland</t>
        </is>
      </c>
      <c r="T82">
        <v>21.344871</v>
      </c>
      <c r="U82">
        <v>21.317077</v>
      </c>
      <c r="V82">
        <v>0.551212</v>
      </c>
      <c r="W82">
        <v>0.511169</v>
      </c>
      <c r="X82">
        <v>12.3</v>
      </c>
      <c r="Y82">
        <v>12.786</v>
      </c>
      <c r="Z82">
        <v>12.3</v>
      </c>
      <c r="AA82">
        <v>50.7</v>
      </c>
      <c r="AB82">
        <v>10.6</v>
      </c>
      <c r="AC82">
        <v>40.1</v>
      </c>
      <c r="AD82">
        <v>13.1</v>
      </c>
      <c r="AE82">
        <v>39.8</v>
      </c>
      <c r="AJ82">
        <v>3.0894</v>
      </c>
      <c r="AK82">
        <v>-0.7371</v>
      </c>
      <c r="AL82">
        <v>19.24</v>
      </c>
      <c r="AM82">
        <v>-5.95</v>
      </c>
      <c r="AN82">
        <v>31.83</v>
      </c>
      <c r="AO82">
        <v>5429668.12</v>
      </c>
      <c r="AP82">
        <v>1052010832.9</v>
      </c>
      <c r="AQ82">
        <v>16241.28</v>
      </c>
      <c r="AR82" t="inlineStr">
        <is>
          <t xml:space="preserve">AVONET (Tobias et al. 2022)</t>
        </is>
      </c>
      <c r="AS82">
        <v>2.1443</v>
      </c>
      <c r="AT82" t="inlineStr">
        <is>
          <t xml:space="preserve">Bird et al. 2020, Table S4</t>
        </is>
      </c>
    </row>
    <row r="83">
      <c r="A83" t="inlineStr">
        <is>
          <t xml:space="preserve">41</t>
        </is>
      </c>
      <c r="B83" t="inlineStr">
        <is>
          <t xml:space="preserve">TAEGUT-LONSTR-VV</t>
        </is>
      </c>
      <c r="C83" t="inlineStr">
        <is>
          <t xml:space="preserve">TAEGUT</t>
        </is>
      </c>
      <c r="D83" t="inlineStr">
        <is>
          <t xml:space="preserve">greater flight capacity</t>
        </is>
      </c>
      <c r="E83" t="inlineStr">
        <is>
          <t xml:space="preserve">Taeniopygia guttata</t>
        </is>
      </c>
      <c r="G83" t="inlineStr">
        <is>
          <t xml:space="preserve">Australaves</t>
        </is>
      </c>
      <c r="H83" t="inlineStr">
        <is>
          <t xml:space="preserve">Passeriformes: Passeri: Passerides: Passeroidea</t>
        </is>
      </c>
      <c r="I83" t="inlineStr">
        <is>
          <t xml:space="preserve">Estrildidae</t>
        </is>
      </c>
      <c r="J83" t="inlineStr">
        <is>
          <t xml:space="preserve">to migratory</t>
        </is>
      </c>
      <c r="K83" t="inlineStr">
        <is>
          <t xml:space="preserve">sed.→migr.</t>
        </is>
      </c>
      <c r="L83" t="inlineStr">
        <is>
          <t xml:space="preserve">volant</t>
        </is>
      </c>
      <c r="M83" t="inlineStr">
        <is>
          <t xml:space="preserve">intermittent bounding (IB)</t>
        </is>
      </c>
      <c r="O83" t="inlineStr">
        <is>
          <t xml:space="preserve">migratory</t>
        </is>
      </c>
      <c r="P83" t="inlineStr">
        <is>
          <t xml:space="preserve">nomadic</t>
        </is>
      </c>
      <c r="Q83">
        <v>2</v>
      </c>
      <c r="R83" t="inlineStr">
        <is>
          <t xml:space="preserve">Terrestrial</t>
        </is>
      </c>
      <c r="S83" t="inlineStr">
        <is>
          <t xml:space="preserve">Grassland</t>
        </is>
      </c>
      <c r="T83">
        <v>21.251735</v>
      </c>
      <c r="U83">
        <v>20.675491</v>
      </c>
      <c r="V83">
        <v>0.568204</v>
      </c>
      <c r="W83">
        <v>0.463945</v>
      </c>
      <c r="X83">
        <v>12.04</v>
      </c>
      <c r="Y83">
        <v>13.001</v>
      </c>
      <c r="Z83">
        <v>12.04</v>
      </c>
      <c r="AA83">
        <v>50.5</v>
      </c>
      <c r="AB83">
        <v>11.2</v>
      </c>
      <c r="AC83">
        <v>39.2</v>
      </c>
      <c r="AD83">
        <v>13.3</v>
      </c>
      <c r="AE83">
        <v>34.2</v>
      </c>
      <c r="AJ83">
        <v>3.0926</v>
      </c>
      <c r="AK83">
        <v>-0.7505</v>
      </c>
      <c r="AL83">
        <v>-8.98</v>
      </c>
      <c r="AM83">
        <v>-10.94</v>
      </c>
      <c r="AN83">
        <v>-7.56</v>
      </c>
      <c r="AO83">
        <v>83399.73</v>
      </c>
      <c r="AP83">
        <v>1205791180.6</v>
      </c>
      <c r="AQ83">
        <v>17280.73</v>
      </c>
      <c r="AR83" t="inlineStr">
        <is>
          <t xml:space="preserve">AVONET (Tobias et al. 2022)</t>
        </is>
      </c>
      <c r="AS83">
        <v>1.5705</v>
      </c>
      <c r="AT83" t="inlineStr">
        <is>
          <t xml:space="preserve">Bird et al. 2020, Table S4</t>
        </is>
      </c>
    </row>
    <row r="84">
      <c r="A84" t="inlineStr">
        <is>
          <t xml:space="preserve">42</t>
        </is>
      </c>
      <c r="B84" t="inlineStr">
        <is>
          <t xml:space="preserve">GEOFOR-NESACU-VV</t>
        </is>
      </c>
      <c r="C84" t="inlineStr">
        <is>
          <t xml:space="preserve">GEOFOR</t>
        </is>
      </c>
      <c r="D84" t="inlineStr">
        <is>
          <t xml:space="preserve">lesser flight capacity</t>
        </is>
      </c>
      <c r="E84" t="inlineStr">
        <is>
          <t xml:space="preserve">Geospiza fortis</t>
        </is>
      </c>
      <c r="G84" t="inlineStr">
        <is>
          <t xml:space="preserve">Australaves</t>
        </is>
      </c>
      <c r="H84" t="inlineStr">
        <is>
          <t xml:space="preserve">Passeriformes: Passeri: Passerides: Emberizoidea</t>
        </is>
      </c>
      <c r="I84" t="inlineStr">
        <is>
          <t xml:space="preserve">Thraupidae</t>
        </is>
      </c>
      <c r="J84" t="inlineStr">
        <is>
          <t xml:space="preserve">minimal</t>
        </is>
      </c>
      <c r="K84" t="inlineStr">
        <is>
          <t xml:space="preserve">N/A (sed.)</t>
        </is>
      </c>
      <c r="L84" t="inlineStr">
        <is>
          <t xml:space="preserve">volant</t>
        </is>
      </c>
      <c r="M84" t="inlineStr">
        <is>
          <t xml:space="preserve">intermittent bounding (IB)</t>
        </is>
      </c>
      <c r="O84" t="inlineStr">
        <is>
          <t xml:space="preserve">sedentary</t>
        </is>
      </c>
      <c r="Q84">
        <v>1</v>
      </c>
      <c r="R84" t="inlineStr">
        <is>
          <t xml:space="preserve">Terrestrial</t>
        </is>
      </c>
      <c r="S84" t="inlineStr">
        <is>
          <t xml:space="preserve">Shrubland</t>
        </is>
      </c>
      <c r="T84">
        <v>19.032966</v>
      </c>
      <c r="U84">
        <v>17.396512</v>
      </c>
      <c r="V84">
        <v>-0.231881</v>
      </c>
      <c r="W84">
        <v>0.176425</v>
      </c>
      <c r="X84">
        <v>24</v>
      </c>
      <c r="Y84">
        <v>14.583</v>
      </c>
      <c r="Z84">
        <v>24</v>
      </c>
      <c r="AA84">
        <v>73.4</v>
      </c>
      <c r="AB84">
        <v>13.5</v>
      </c>
      <c r="AC84">
        <v>57.5</v>
      </c>
      <c r="AD84">
        <v>20.8</v>
      </c>
      <c r="AE84">
        <v>41.5</v>
      </c>
      <c r="AJ84">
        <v>3.2366</v>
      </c>
      <c r="AK84">
        <v>-0.8086</v>
      </c>
      <c r="AL84">
        <v>-0.55</v>
      </c>
      <c r="AM84">
        <v>-1.36</v>
      </c>
      <c r="AN84">
        <v>0.65</v>
      </c>
      <c r="AO84">
        <v>7699.87</v>
      </c>
      <c r="AP84">
        <v>1060948464.7</v>
      </c>
      <c r="AQ84">
        <v>14639.06</v>
      </c>
      <c r="AR84" t="inlineStr">
        <is>
          <t xml:space="preserve">AVONET (Tobias et al. 2022)</t>
        </is>
      </c>
      <c r="AS84">
        <v>3.0740</v>
      </c>
      <c r="AT84" t="inlineStr">
        <is>
          <t xml:space="preserve">Bird et al. 2020, Table S4</t>
        </is>
      </c>
    </row>
    <row r="85">
      <c r="A85" t="inlineStr">
        <is>
          <t xml:space="preserve">42</t>
        </is>
      </c>
      <c r="B85" t="inlineStr">
        <is>
          <t xml:space="preserve">GEOFOR-NESACU-VV</t>
        </is>
      </c>
      <c r="C85" t="inlineStr">
        <is>
          <t xml:space="preserve">NESACU</t>
        </is>
      </c>
      <c r="D85" t="inlineStr">
        <is>
          <t xml:space="preserve">greater flight capacity</t>
        </is>
      </c>
      <c r="E85" t="inlineStr">
        <is>
          <t xml:space="preserve">Nesospiza acunhae</t>
        </is>
      </c>
      <c r="G85" t="inlineStr">
        <is>
          <t xml:space="preserve">Australaves</t>
        </is>
      </c>
      <c r="H85" t="inlineStr">
        <is>
          <t xml:space="preserve">Passeriformes: Passeri: Passerides: Emberizoidea</t>
        </is>
      </c>
      <c r="I85" t="inlineStr">
        <is>
          <t xml:space="preserve">Thraupidae</t>
        </is>
      </c>
      <c r="J85" t="inlineStr">
        <is>
          <t xml:space="preserve">minimal</t>
        </is>
      </c>
      <c r="K85" t="inlineStr">
        <is>
          <t xml:space="preserve">N/A (sed.)</t>
        </is>
      </c>
      <c r="L85" t="inlineStr">
        <is>
          <t xml:space="preserve">volant</t>
        </is>
      </c>
      <c r="M85" t="inlineStr">
        <is>
          <t xml:space="preserve">continuous flapping (CF)</t>
        </is>
      </c>
      <c r="O85" t="inlineStr">
        <is>
          <t xml:space="preserve">sedentary</t>
        </is>
      </c>
      <c r="Q85">
        <v>1</v>
      </c>
      <c r="R85" t="inlineStr">
        <is>
          <t xml:space="preserve">Generalist</t>
        </is>
      </c>
      <c r="S85" t="inlineStr">
        <is>
          <t xml:space="preserve">Shrubland</t>
        </is>
      </c>
      <c r="T85">
        <v>20.017448</v>
      </c>
      <c r="U85">
        <v>20.791637</v>
      </c>
      <c r="V85">
        <v>-0.354702</v>
      </c>
      <c r="W85">
        <v>0.090104</v>
      </c>
      <c r="X85">
        <v>28.54</v>
      </c>
      <c r="Y85">
        <v>19</v>
      </c>
      <c r="Z85">
        <v>28.54</v>
      </c>
      <c r="AA85">
        <v>83</v>
      </c>
      <c r="AB85">
        <v>16.6</v>
      </c>
      <c r="AC85">
        <v>66.4</v>
      </c>
      <c r="AD85">
        <v>24.7</v>
      </c>
      <c r="AE85">
        <v>69.5</v>
      </c>
      <c r="AJ85">
        <v>3.3017</v>
      </c>
      <c r="AK85">
        <v>-0.8812</v>
      </c>
      <c r="AL85">
        <v>-37.3</v>
      </c>
      <c r="AM85">
        <v>-37.33</v>
      </c>
      <c r="AN85">
        <v>-37.28</v>
      </c>
      <c r="AO85">
        <v>16.43</v>
      </c>
      <c r="AP85">
        <v>1058308472.9</v>
      </c>
      <c r="AQ85">
        <v>16680.38</v>
      </c>
      <c r="AR85" t="inlineStr">
        <is>
          <t xml:space="preserve">AVONET (Tobias et al. 2022)</t>
        </is>
      </c>
      <c r="AS85">
        <v>2.7988</v>
      </c>
      <c r="AT85" t="inlineStr">
        <is>
          <t xml:space="preserve">Bird et al. 2020, Table S4</t>
        </is>
      </c>
    </row>
  </sheetData>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sheetData>
    <row r="1">
      <c r="A1" t="inlineStr">
        <is>
          <t xml:space="preserve">Species</t>
        </is>
      </c>
      <c r="B1" t="inlineStr">
        <is>
          <t xml:space="preserve">Body mass (g)</t>
        </is>
      </c>
      <c r="C1" t="inlineStr">
        <is>
          <t xml:space="preserve">Wing area (cm2)</t>
        </is>
      </c>
      <c r="D1" t="inlineStr">
        <is>
          <t xml:space="preserve">True wing loading (g/cm2)</t>
        </is>
      </c>
      <c r="E1" t="inlineStr">
        <is>
          <t xml:space="preserve">Wing length (mm)</t>
        </is>
      </c>
      <c r="F1" t="inlineStr">
        <is>
          <t xml:space="preserve">mass / wing length^2 (g/cm2)</t>
        </is>
      </c>
      <c r="G1" t="inlineStr">
        <is>
          <t xml:space="preserve">Ratio proxy / true</t>
        </is>
      </c>
      <c r="H1" t="inlineStr">
        <is>
          <t xml:space="preserve">Among the 84 study taxa?</t>
        </is>
      </c>
      <c r="I1" t="inlineStr">
        <is>
          <t xml:space="preserve">Source</t>
        </is>
      </c>
    </row>
    <row r="2">
      <c r="A2" t="inlineStr">
        <is>
          <t xml:space="preserve">Chaetura pelagica</t>
        </is>
      </c>
      <c r="B2">
        <v>17.3</v>
      </c>
      <c r="C2">
        <v>104</v>
      </c>
      <c r="D2">
        <v>0.166</v>
      </c>
      <c r="E2">
        <v>124.4</v>
      </c>
      <c r="F2">
        <v>0.112</v>
      </c>
      <c r="G2">
        <v>0.67</v>
      </c>
      <c r="H2" t="inlineStr">
        <is>
          <t xml:space="preserve">yes</t>
        </is>
      </c>
      <c r="I2" t="inlineStr">
        <is>
          <t xml:space="preserve">Poole 1938</t>
        </is>
      </c>
    </row>
    <row r="3">
      <c r="A3" t="inlineStr">
        <is>
          <t xml:space="preserve">Dryobates pubescens</t>
        </is>
      </c>
      <c r="B3">
        <v>24.8</v>
      </c>
      <c r="C3">
        <v>136</v>
      </c>
      <c r="D3">
        <v>0.182</v>
      </c>
      <c r="E3">
        <v>91.3</v>
      </c>
      <c r="F3">
        <v>0.298</v>
      </c>
      <c r="G3">
        <v>1.63</v>
      </c>
      <c r="H3" t="inlineStr">
        <is>
          <t xml:space="preserve">yes</t>
        </is>
      </c>
      <c r="I3" t="inlineStr">
        <is>
          <t xml:space="preserve">Poole 1938</t>
        </is>
      </c>
    </row>
    <row r="4">
      <c r="A4" t="inlineStr">
        <is>
          <t xml:space="preserve">Charadrius vociferus</t>
        </is>
      </c>
      <c r="B4">
        <v>85</v>
      </c>
      <c r="C4">
        <v>275</v>
      </c>
      <c r="D4">
        <v>0.309</v>
      </c>
      <c r="E4">
        <v>158.8</v>
      </c>
      <c r="F4">
        <v>0.337</v>
      </c>
      <c r="G4">
        <v>1.09</v>
      </c>
      <c r="H4" t="inlineStr">
        <is>
          <t xml:space="preserve">yes</t>
        </is>
      </c>
      <c r="I4" t="inlineStr">
        <is>
          <t xml:space="preserve">Poole 1938</t>
        </is>
      </c>
    </row>
    <row r="5">
      <c r="A5" t="inlineStr">
        <is>
          <t xml:space="preserve">Tyto alba</t>
        </is>
      </c>
      <c r="B5">
        <v>505</v>
      </c>
      <c r="C5">
        <v>1683</v>
      </c>
      <c r="D5">
        <v>0.3</v>
      </c>
      <c r="E5">
        <v>280.2</v>
      </c>
      <c r="F5">
        <v>0.643</v>
      </c>
      <c r="G5">
        <v>2.14</v>
      </c>
      <c r="H5" t="inlineStr">
        <is>
          <t xml:space="preserve">yes</t>
        </is>
      </c>
      <c r="I5" t="inlineStr">
        <is>
          <t xml:space="preserve">Poole 1938</t>
        </is>
      </c>
    </row>
    <row r="6">
      <c r="A6" t="inlineStr">
        <is>
          <t xml:space="preserve">Meleagris gallopavo</t>
        </is>
      </c>
      <c r="B6">
        <v>3897</v>
      </c>
      <c r="C6">
        <v>3752</v>
      </c>
      <c r="D6">
        <v>1.039</v>
      </c>
      <c r="E6">
        <v>448.8</v>
      </c>
      <c r="F6">
        <v>1.935</v>
      </c>
      <c r="G6">
        <v>1.86</v>
      </c>
      <c r="H6" t="inlineStr">
        <is>
          <t xml:space="preserve">yes</t>
        </is>
      </c>
      <c r="I6" t="inlineStr">
        <is>
          <t xml:space="preserve">Poole 1938</t>
        </is>
      </c>
    </row>
    <row r="7">
      <c r="A7" t="inlineStr">
        <is>
          <t xml:space="preserve">Aquila chrysaetos</t>
        </is>
      </c>
      <c r="B7">
        <v>4664</v>
      </c>
      <c r="C7">
        <v>6520</v>
      </c>
      <c r="D7">
        <v>0.715</v>
      </c>
      <c r="E7">
        <v>603.1</v>
      </c>
      <c r="F7">
        <v>1.282</v>
      </c>
      <c r="G7">
        <v>1.79</v>
      </c>
      <c r="H7" t="inlineStr">
        <is>
          <t xml:space="preserve">yes</t>
        </is>
      </c>
      <c r="I7" t="inlineStr">
        <is>
          <t xml:space="preserve">Poole 1938</t>
        </is>
      </c>
    </row>
    <row r="8">
      <c r="A8" t="inlineStr">
        <is>
          <t xml:space="preserve">Alca torda</t>
        </is>
      </c>
      <c r="B8">
        <v>726</v>
      </c>
      <c r="C8">
        <v>443</v>
      </c>
      <c r="D8">
        <v>1.639</v>
      </c>
      <c r="E8">
        <v>209.3</v>
      </c>
      <c r="F8">
        <v>1.657</v>
      </c>
      <c r="G8">
        <v>1.01</v>
      </c>
      <c r="H8" t="inlineStr">
        <is>
          <t xml:space="preserve">yes</t>
        </is>
      </c>
      <c r="I8" t="inlineStr">
        <is>
          <t xml:space="preserve">Livezey 1988 (from wing-loading 1.63)</t>
        </is>
      </c>
    </row>
    <row r="9">
      <c r="A9" t="inlineStr">
        <is>
          <t xml:space="preserve">Pinguinus impennis</t>
        </is>
      </c>
      <c r="B9">
        <v>3561</v>
      </c>
      <c r="C9">
        <v>230</v>
      </c>
      <c r="D9">
        <v>15.483</v>
      </c>
      <c r="E9">
        <v>160</v>
      </c>
      <c r="F9">
        <v>13.91</v>
      </c>
      <c r="G9">
        <v>0.9</v>
      </c>
      <c r="H9" t="inlineStr">
        <is>
          <t xml:space="preserve">yes</t>
        </is>
      </c>
      <c r="I9" t="inlineStr">
        <is>
          <t xml:space="preserve">Livezey 1988 area; Montgomerie &amp; Birkhead 2025 mass</t>
        </is>
      </c>
    </row>
    <row r="10">
      <c r="A10" t="inlineStr">
        <is>
          <t xml:space="preserve">Aethia pusilla</t>
        </is>
      </c>
      <c r="B10">
        <v>84</v>
      </c>
      <c r="C10">
        <v>118.3</v>
      </c>
      <c r="D10">
        <v>0.71</v>
      </c>
      <c r="E10">
        <v>94.4</v>
      </c>
      <c r="F10">
        <v>0.943</v>
      </c>
      <c r="G10">
        <v>1.33</v>
      </c>
      <c r="H10" t="inlineStr">
        <is>
          <t xml:space="preserve">no</t>
        </is>
      </c>
      <c r="I10" t="inlineStr">
        <is>
          <t xml:space="preserve">Livezey 1988 (from wing-loading 0.71)</t>
        </is>
      </c>
    </row>
    <row r="11">
      <c r="A11" t="inlineStr">
        <is>
          <t xml:space="preserve">Alle alle</t>
        </is>
      </c>
      <c r="B11">
        <v>180.7</v>
      </c>
      <c r="C11">
        <v>192.2</v>
      </c>
      <c r="D11">
        <v>0.94</v>
      </c>
      <c r="E11">
        <v>115.8</v>
      </c>
      <c r="F11">
        <v>1.348</v>
      </c>
      <c r="G11">
        <v>1.43</v>
      </c>
      <c r="H11" t="inlineStr">
        <is>
          <t xml:space="preserve">no</t>
        </is>
      </c>
      <c r="I11" t="inlineStr">
        <is>
          <t xml:space="preserve">Livezey 1988 (from wing-loading 0.94)</t>
        </is>
      </c>
    </row>
    <row r="12">
      <c r="A12" t="inlineStr">
        <is>
          <t xml:space="preserve">Synthliboramphus antiquus</t>
        </is>
      </c>
      <c r="B12">
        <v>217.7</v>
      </c>
      <c r="C12">
        <v>213.4</v>
      </c>
      <c r="D12">
        <v>1.02</v>
      </c>
      <c r="E12">
        <v>135.5</v>
      </c>
      <c r="F12">
        <v>1.186</v>
      </c>
      <c r="G12">
        <v>1.16</v>
      </c>
      <c r="H12" t="inlineStr">
        <is>
          <t xml:space="preserve">no</t>
        </is>
      </c>
      <c r="I12" t="inlineStr">
        <is>
          <t xml:space="preserve">Livezey 1988 (from wing-loading 1.02)</t>
        </is>
      </c>
    </row>
    <row r="13">
      <c r="A13" t="inlineStr">
        <is>
          <t xml:space="preserve">Aethia cristatella</t>
        </is>
      </c>
      <c r="B13">
        <v>259.4</v>
      </c>
      <c r="C13">
        <v>196.5</v>
      </c>
      <c r="D13">
        <v>1.32</v>
      </c>
      <c r="E13">
        <v>139.4</v>
      </c>
      <c r="F13">
        <v>1.335</v>
      </c>
      <c r="G13">
        <v>1.01</v>
      </c>
      <c r="H13" t="inlineStr">
        <is>
          <t xml:space="preserve">no</t>
        </is>
      </c>
      <c r="I13" t="inlineStr">
        <is>
          <t xml:space="preserve">Livezey 1988 (from wing-loading 1.32)</t>
        </is>
      </c>
    </row>
    <row r="14">
      <c r="A14" t="inlineStr">
        <is>
          <t xml:space="preserve">Aethia psittacula</t>
        </is>
      </c>
      <c r="B14">
        <v>270</v>
      </c>
      <c r="C14">
        <v>243.2</v>
      </c>
      <c r="D14">
        <v>1.11</v>
      </c>
      <c r="E14">
        <v>146.2</v>
      </c>
      <c r="F14">
        <v>1.263</v>
      </c>
      <c r="G14">
        <v>1.14</v>
      </c>
      <c r="H14" t="inlineStr">
        <is>
          <t xml:space="preserve">no</t>
        </is>
      </c>
      <c r="I14" t="inlineStr">
        <is>
          <t xml:space="preserve">Livezey 1988 (from wing-loading 1.11)</t>
        </is>
      </c>
    </row>
    <row r="15">
      <c r="A15" t="inlineStr">
        <is>
          <t xml:space="preserve">Cepphus columba</t>
        </is>
      </c>
      <c r="B15">
        <v>530</v>
      </c>
      <c r="C15">
        <v>430.9</v>
      </c>
      <c r="D15">
        <v>1.23</v>
      </c>
      <c r="E15">
        <v>173.4</v>
      </c>
      <c r="F15">
        <v>1.763</v>
      </c>
      <c r="G15">
        <v>1.43</v>
      </c>
      <c r="H15" t="inlineStr">
        <is>
          <t xml:space="preserve">no</t>
        </is>
      </c>
      <c r="I15" t="inlineStr">
        <is>
          <t xml:space="preserve">Livezey 1988 (from wing-loading 1.23)</t>
        </is>
      </c>
    </row>
    <row r="16">
      <c r="A16" t="inlineStr">
        <is>
          <t xml:space="preserve">Fratercula arctica</t>
        </is>
      </c>
      <c r="B16">
        <v>593</v>
      </c>
      <c r="C16">
        <v>442.5</v>
      </c>
      <c r="D16">
        <v>1.34</v>
      </c>
      <c r="E16">
        <v>163.6</v>
      </c>
      <c r="F16">
        <v>2.216</v>
      </c>
      <c r="G16">
        <v>1.65</v>
      </c>
      <c r="H16" t="inlineStr">
        <is>
          <t xml:space="preserve">no</t>
        </is>
      </c>
      <c r="I16" t="inlineStr">
        <is>
          <t xml:space="preserve">Livezey 1988 (from wing-loading 1.34)</t>
        </is>
      </c>
    </row>
    <row r="17">
      <c r="A17" t="inlineStr">
        <is>
          <t xml:space="preserve">Uria lomvia</t>
        </is>
      </c>
      <c r="B17">
        <v>964</v>
      </c>
      <c r="C17">
        <v>570.4</v>
      </c>
      <c r="D17">
        <v>1.69</v>
      </c>
      <c r="E17">
        <v>206.8</v>
      </c>
      <c r="F17">
        <v>2.254</v>
      </c>
      <c r="G17">
        <v>1.33</v>
      </c>
      <c r="H17" t="inlineStr">
        <is>
          <t xml:space="preserve">no</t>
        </is>
      </c>
      <c r="I17" t="inlineStr">
        <is>
          <t xml:space="preserve">Livezey 1988 (from wing-loading 1.69)</t>
        </is>
      </c>
    </row>
    <row r="18">
      <c r="A18" t="inlineStr">
        <is>
          <t xml:space="preserve">Uria aalge</t>
        </is>
      </c>
      <c r="B18">
        <v>991.9</v>
      </c>
      <c r="C18">
        <v>481.5</v>
      </c>
      <c r="D18">
        <v>2.06</v>
      </c>
      <c r="E18">
        <v>196.3</v>
      </c>
      <c r="F18">
        <v>2.574</v>
      </c>
      <c r="G18">
        <v>1.25</v>
      </c>
      <c r="H18" t="inlineStr">
        <is>
          <t xml:space="preserve">no</t>
        </is>
      </c>
      <c r="I18" t="inlineStr">
        <is>
          <t xml:space="preserve">Livezey 1988 (from wing-loading 2.06)</t>
        </is>
      </c>
    </row>
    <row r="19">
      <c r="A19" t="inlineStr">
        <is>
          <t xml:space="preserve">Note: published wing areas exist only for these taxa, 8 of the 84 in the study. The index ln(mass / wing length^2) in Table S2 is computable for all 84 and tracks true wing loading with R2 = 0.92 on the log scale across those 8 (17 g to 4664 g, six flight styles). Wing area scales as wing length^1.9 to 2.4 in these data, consistent with the square.</t>
        </is>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Caption Table S1</vt:lpstr>
      <vt:lpstr>Table S1</vt:lpstr>
      <vt:lpstr>Table S2. Morphometrics</vt:lpstr>
      <vt:lpstr>Table S3. Wing areas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Stervander</dc:creator>
  <cp:lastModifiedBy>Reviewer</cp:lastModifiedBy>
  <dcterms:created xsi:type="dcterms:W3CDTF">2025-05-06T11:07:39Z</dcterms:created>
  <dcterms:modified xsi:type="dcterms:W3CDTF">2026-09-04T07:03:27Z</dcterms:modified>
</cp:coreProperties>
</file>